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11.xml" ContentType="application/vnd.openxmlformats-officedocument.drawing+xml"/>
  <Override PartName="/xl/comments13.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showInkAnnotation="0" updateLinks="never" codeName="DieseArbeitsmappe"/>
  <mc:AlternateContent xmlns:mc="http://schemas.openxmlformats.org/markup-compatibility/2006">
    <mc:Choice Requires="x15">
      <x15ac:absPath xmlns:x15ac="http://schemas.microsoft.com/office/spreadsheetml/2010/11/ac" url="C:\Users\iñigo\LOCOMOTION\WILIAM\model_parameters\energy\"/>
    </mc:Choice>
  </mc:AlternateContent>
  <xr:revisionPtr revIDLastSave="0" documentId="13_ncr:1_{2D4E1EBF-B5FF-4D7E-A0A7-B1E98CB32FA7}" xr6:coauthVersionLast="47" xr6:coauthVersionMax="47" xr10:uidLastSave="{00000000-0000-0000-0000-000000000000}"/>
  <bookViews>
    <workbookView xWindow="38280" yWindow="-120" windowWidth="29040" windowHeight="15840" tabRatio="849" firstSheet="2" activeTab="14" xr2:uid="{00000000-000D-0000-FFFF-FFFF00000000}"/>
  </bookViews>
  <sheets>
    <sheet name="PV" sheetId="136" r:id="rId1"/>
    <sheet name="ChangeLog" sheetId="60" r:id="rId2"/>
    <sheet name="Template" sheetId="23" r:id="rId3"/>
    <sheet name="EU27" sheetId="126" r:id="rId4"/>
    <sheet name="UK" sheetId="131" r:id="rId5"/>
    <sheet name="EASOC" sheetId="125" r:id="rId6"/>
    <sheet name="CHINA" sheetId="124" r:id="rId7"/>
    <sheet name="INDIA" sheetId="127" r:id="rId8"/>
    <sheet name="LATAM" sheetId="128" r:id="rId9"/>
    <sheet name="RUSSIA" sheetId="130" r:id="rId10"/>
    <sheet name="USMCA" sheetId="132" r:id="rId11"/>
    <sheet name="LROW" sheetId="129" r:id="rId12"/>
    <sheet name="allocation_new_capacity_subtech" sheetId="135" r:id="rId13"/>
    <sheet name="World" sheetId="134" r:id="rId14"/>
    <sheet name="Common" sheetId="138" r:id="rId15"/>
  </sheets>
  <externalReferences>
    <externalReference r:id="rId16"/>
    <externalReference r:id="rId17"/>
    <externalReference r:id="rId18"/>
    <externalReference r:id="rId19"/>
    <externalReference r:id="rId20"/>
    <externalReference r:id="rId21"/>
  </externalReferences>
  <definedNames>
    <definedName name="_4w_elect_household">"capacity_expansion_limits_relative"</definedName>
    <definedName name="adjust_energy_for_transport_to_inland_transport" localSheetId="13">World!$G$323</definedName>
    <definedName name="Annual_growth_start_production_biofuels_marginal_lands" localSheetId="13">World!$B$280:$P$280</definedName>
    <definedName name="Annual_shift_from_2gen_to_3gen_biofuels_land_compet" localSheetId="13">World!$C$315</definedName>
    <definedName name="Auxiliary_metabolic_EROI" localSheetId="13">World!$G$288</definedName>
    <definedName name="Average_global_irradiance" localSheetId="13">World!$K$287</definedName>
    <definedName name="average_price_2w_vehicle" localSheetId="13">World!$K$307</definedName>
    <definedName name="average_price_4w_vehicle" localSheetId="13">World!$K$306</definedName>
    <definedName name="bateries_2_wheels_elec" localSheetId="13">World!$B$473</definedName>
    <definedName name="bateries_4w_elect_household" localSheetId="13">World!$B$467</definedName>
    <definedName name="bateries_bus_elec" localSheetId="13">World!$B$471</definedName>
    <definedName name="bateries_bus_hib" localSheetId="13">World!$B$472</definedName>
    <definedName name="bateries_HV_hyb" localSheetId="13">World!$B$470</definedName>
    <definedName name="bateries_LV_elec" localSheetId="13">World!$B$468</definedName>
    <definedName name="bateries_LV_hyb" localSheetId="13">World!$B$469</definedName>
    <definedName name="BG_Mohr15_unconv_gas" localSheetId="13">World!$C$210</definedName>
    <definedName name="BG_Mohr15_unconv_gas_extraction" localSheetId="13">World!$C$212:$AF$212</definedName>
    <definedName name="BG_Mohr15_unconv_gas_remaining" localSheetId="13">World!$C$211:$AF$211</definedName>
    <definedName name="BG_mohr15_unconv_oil" localSheetId="13">World!$C$177</definedName>
    <definedName name="BG_mohr15_unconv_oil_URR_extraction" localSheetId="13">World!$C$179:$X$179</definedName>
    <definedName name="BG_mohr15_unconv_oil_URR_remaining" localSheetId="13">World!$C$178:$X$178</definedName>
    <definedName name="BG_Mohr2015_coal" localSheetId="13">World!$C$238</definedName>
    <definedName name="BG_Mohr2015_coal_extraction" localSheetId="13">World!$C$240:$R$240</definedName>
    <definedName name="BG_Mohr2015_coal_remaining" localSheetId="13">World!$C$239:$R$239</definedName>
    <definedName name="BG_Mohr2015_conv_gas" localSheetId="13">World!$C$207</definedName>
    <definedName name="BG_Mohr2015_conv_gas_extraction" localSheetId="13">World!$C$209:$N$209</definedName>
    <definedName name="BG_Mohr2015_conv_gas_remaining" localSheetId="13">World!$C$208:$N$208</definedName>
    <definedName name="bioE_initial_power_density" localSheetId="13">World!$B$261</definedName>
    <definedName name="Biofuel_production_2015" localSheetId="13">World!$D$26</definedName>
    <definedName name="Biofuels" localSheetId="13">World!$D$25:$X$25</definedName>
    <definedName name="Biofuels_in_marginal_lands" localSheetId="13">World!$B$279:$P$279</definedName>
    <definedName name="Biofuels_past_growth" localSheetId="13">World!$D$136</definedName>
    <definedName name="Biogases_EJ" localSheetId="13">World!$D$102:$X$102</definedName>
    <definedName name="biomass_CO2_emissions" localSheetId="13">World!$E$261</definedName>
    <definedName name="bus_elec" localSheetId="13">World!$B$461</definedName>
    <definedName name="bus_gas" localSheetId="13">World!$B$463</definedName>
    <definedName name="bus_hyb" localSheetId="13">World!$B$462</definedName>
    <definedName name="bus_liq" localSheetId="13">World!$B$460</definedName>
    <definedName name="by_default_ratio_energy_cons_recycled_vs_virgin_minerals" localSheetId="13">World!$G$309</definedName>
    <definedName name="Capacity_EV_battery" localSheetId="13">World!$G$295</definedName>
    <definedName name="capacity_expansion_limits_relative_per_transformation_process" localSheetId="6">CHINA!$C$117:$C$158</definedName>
    <definedName name="capacity_expansion_limits_relative_per_transformation_process" localSheetId="5">EASOC!$C$117:$C$158</definedName>
    <definedName name="capacity_expansion_limits_relative_per_transformation_process" localSheetId="3">'EU27'!$C$117:$C$158</definedName>
    <definedName name="capacity_expansion_limits_relative_per_transformation_process" localSheetId="7">INDIA!$C$117:$C$158</definedName>
    <definedName name="capacity_expansion_limits_relative_per_transformation_process" localSheetId="8">LATAM!$C$117:$C$158</definedName>
    <definedName name="capacity_expansion_limits_relative_per_transformation_process" localSheetId="11">LROW!$C$117:$C$158</definedName>
    <definedName name="capacity_expansion_limits_relative_per_transformation_process" localSheetId="9">RUSSIA!$C$117:$C$158</definedName>
    <definedName name="capacity_expansion_limits_relative_per_transformation_process" localSheetId="2">Template!$C$117:$C$158</definedName>
    <definedName name="capacity_expansion_limits_relative_per_transformation_process" localSheetId="4">UK!$C$117:$C$158</definedName>
    <definedName name="capacity_expansion_limits_relative_per_transformation_process" localSheetId="10">USMCA!$C$117:$C$158</definedName>
    <definedName name="Cell_efficiency_conversion_of_solar_PV" localSheetId="13">World!$K$290</definedName>
    <definedName name="CF_EV_batteries" localSheetId="13">World!$G$298</definedName>
    <definedName name="CF_hydro_2015" localSheetId="13">World!$I$271</definedName>
    <definedName name="CF_ini_bioE_elec" localSheetId="13">World!$F$261</definedName>
    <definedName name="CF_ini_CSP" localSheetId="13">World!$F$266</definedName>
    <definedName name="CF_ini_geot_elec" localSheetId="13">World!$F$260</definedName>
    <definedName name="CF_ini_hydro" localSheetId="13">World!$G$271:$R$271</definedName>
    <definedName name="CF_ini_oceanic" localSheetId="13">World!$F$262</definedName>
    <definedName name="CF_ini_RES_for_heat" localSheetId="13">World!$F$268:$F$270</definedName>
    <definedName name="CF_ini_solar_PV" localSheetId="13">World!$F$265</definedName>
    <definedName name="CF_ini_wind_offshore" localSheetId="13">World!$F$264</definedName>
    <definedName name="CF_ini_wind_onshore" localSheetId="13">World!$F$263</definedName>
    <definedName name="CF_init_nuclear" localSheetId="13">World!$F$267</definedName>
    <definedName name="CF_PHS" localSheetId="13">World!$G$304</definedName>
    <definedName name="CF_PROSUP_ELEC2HEAT" localSheetId="14">Common!$B$63:$B$71</definedName>
    <definedName name="coal" localSheetId="13">World!$G$319</definedName>
    <definedName name="COAL_pct_losses" localSheetId="13">World!$D$81:$X$81</definedName>
    <definedName name="Conv_efficiency_from_NPP_to_biofuels" localSheetId="13">World!$C$312</definedName>
    <definedName name="conventional_gas" localSheetId="13">World!$G$317</definedName>
    <definedName name="conventional_oil" localSheetId="13">World!$G$315</definedName>
    <definedName name="conversion_efficiency_per_refinery_process" localSheetId="6">CHINA!$B$90:$B$103</definedName>
    <definedName name="conversion_efficiency_per_refinery_process" localSheetId="5">EASOC!$B$90:$B$103</definedName>
    <definedName name="conversion_efficiency_per_refinery_process" localSheetId="3">'EU27'!$B$90:$B$103</definedName>
    <definedName name="conversion_efficiency_per_refinery_process" localSheetId="7">INDIA!$B$90:$B$103</definedName>
    <definedName name="conversion_efficiency_per_refinery_process" localSheetId="8">LATAM!$B$90:$B$103</definedName>
    <definedName name="conversion_efficiency_per_refinery_process" localSheetId="11">LROW!$B$90:$B$103</definedName>
    <definedName name="conversion_efficiency_per_refinery_process" localSheetId="9">RUSSIA!$B$90:$B$103</definedName>
    <definedName name="conversion_efficiency_per_refinery_process" localSheetId="2">Template!$B$90:$B$103</definedName>
    <definedName name="conversion_efficiency_per_refinery_process" localSheetId="4">UK!$B$90:$B$103</definedName>
    <definedName name="conversion_efficiency_per_refinery_process" localSheetId="10">USMCA!$B$90:$B$103</definedName>
    <definedName name="CORRESPONDENCE_MATRIX_PROTRA_NRG_TO">#REF!</definedName>
    <definedName name="CORRESPONDENCE_MATRIX_TO_INPUT_OUTPUT_PROSUP_H2_PER_COMMODITY" localSheetId="14">Common!$B$57:$H$59</definedName>
    <definedName name="CSP_initial_power_density" localSheetId="13">World!$B$266</definedName>
    <definedName name="CSP_past_capacity_growth" localSheetId="13">World!$D$147</definedName>
    <definedName name="cumulated_coal_extraction_to_2005" localSheetId="13">World!$D$152</definedName>
    <definedName name="cumulated_conv_gas_extraction_to_2005" localSheetId="13">World!$D$150</definedName>
    <definedName name="cumulated_conv_oil_extraction_to_2005" localSheetId="13">World!$D$148</definedName>
    <definedName name="cumulated_unconv_gas_extraction_to_2005" localSheetId="13">World!$D$151</definedName>
    <definedName name="cumulated_unconv_oil_extraction_to_2005" localSheetId="13">World!$D$149</definedName>
    <definedName name="cumulated_uranium_extraction_to_2005" localSheetId="13">World!$D$153</definedName>
    <definedName name="Cumulative_CO2_emissions_1751_1995" localSheetId="13">World!$D$161</definedName>
    <definedName name="CURRENT_GRIDS_O_AND_M_PV_TECHNOLOGIES_ENERGY">PV!$F$16</definedName>
    <definedName name="DECOMISSIONING_ENERGY_RATIO_PV_TECHNOLOGIES">PV!$G$16</definedName>
    <definedName name="Decommissiong_time_nuclear" localSheetId="13">World!$K$301</definedName>
    <definedName name="depreciation_period_per_transformation_process" localSheetId="6">CHINA!#REF!</definedName>
    <definedName name="depreciation_period_per_transformation_process" localSheetId="5">EASOC!#REF!</definedName>
    <definedName name="depreciation_period_per_transformation_process" localSheetId="3">'EU27'!#REF!</definedName>
    <definedName name="depreciation_period_per_transformation_process" localSheetId="7">INDIA!#REF!</definedName>
    <definedName name="depreciation_period_per_transformation_process" localSheetId="8">LATAM!#REF!</definedName>
    <definedName name="depreciation_period_per_transformation_process" localSheetId="11">LROW!#REF!</definedName>
    <definedName name="depreciation_period_per_transformation_process" localSheetId="9">RUSSIA!#REF!</definedName>
    <definedName name="depreciation_period_per_transformation_process" localSheetId="2">Template!#REF!</definedName>
    <definedName name="depreciation_period_per_transformation_process" localSheetId="4">UK!#REF!</definedName>
    <definedName name="depreciation_period_per_transformation_process" localSheetId="10">USMCA!#REF!</definedName>
    <definedName name="DH_0" localSheetId="13">World!$B$440</definedName>
    <definedName name="ebike_average_price" localSheetId="13">World!$K$308</definedName>
    <definedName name="ebikes_bateries_ratio" localSheetId="13">World!$E$473</definedName>
    <definedName name="ebikes_initial_percentage" localSheetId="13">World!$F$414</definedName>
    <definedName name="ebikes_saving_ratio" localSheetId="13">World!$E$451</definedName>
    <definedName name="EFFICIENCES_MAX_PV_TECHNOLOGY">PV!$E$5:$E$8</definedName>
    <definedName name="efficiency_biogas_for_elec_in_CHP_plants" localSheetId="13">World!$G$337</definedName>
    <definedName name="efficiency_biogas_for_elec_plants" localSheetId="13">World!$G$335</definedName>
    <definedName name="efficiency_biogas_for_heat_in_CHP_plants" localSheetId="13">World!$G$336</definedName>
    <definedName name="efficiency_biogas_for_heat_plants" localSheetId="13">World!$G$334</definedName>
    <definedName name="Efficiency_coal_for_electricity" localSheetId="13">World!$C$297</definedName>
    <definedName name="Efficiency_conversion_BioE_plants_to_heat" localSheetId="13">World!$C$294</definedName>
    <definedName name="Efficiency_conversion_bioE_to_Elec" localSheetId="13">World!$C$295</definedName>
    <definedName name="Efficiency_conversion_geot_PE_to_Elec" localSheetId="13">World!$C$293</definedName>
    <definedName name="Efficiency_elec_CHP_plants_coal" localSheetId="13">World!$D$95:$X$95</definedName>
    <definedName name="Efficiency_elec_CHP_plants_gas" localSheetId="13">World!$D$92:$X$92</definedName>
    <definedName name="Efficiency_elec_CHP_plants_oil" localSheetId="13">World!$D$98:$X$98</definedName>
    <definedName name="Efficiency_geothermal_for_heat" localSheetId="13">World!$G$294</definedName>
    <definedName name="Efficiency_heat_CHP_plants_coal" localSheetId="13">World!$D$96:$X$96</definedName>
    <definedName name="Efficiency_heat_CHP_plants_gas" localSheetId="13">World!$D$93:$X$93</definedName>
    <definedName name="Efficiency_heat_CHP_plants_oil" localSheetId="13">World!$D$99:$X$99</definedName>
    <definedName name="Efficiency_Heat_plants_coal" localSheetId="13">World!$D$94:$X$94</definedName>
    <definedName name="Efficiency_Heat_plants_gas" localSheetId="13">World!$D$91:$X$91</definedName>
    <definedName name="Efficiency_Heat_plants_oil" localSheetId="13">World!$D$97:$X$97</definedName>
    <definedName name="Efficiency_improv_gas_for_electricity" localSheetId="13">World!$C$303</definedName>
    <definedName name="Efficiency_improvement_3gen" localSheetId="13">World!$C$298</definedName>
    <definedName name="Efficiency_liquids_for_electricity" localSheetId="13">World!$C$296</definedName>
    <definedName name="Efficiency_solar_panels_for_heat" localSheetId="13">World!$G$292</definedName>
    <definedName name="Efficiency_uranium_for_electricity" localSheetId="13">World!$C$292</definedName>
    <definedName name="efficiency_waste_for_elec_in_CHP_plants" localSheetId="13">World!$C$337</definedName>
    <definedName name="efficiency_waste_for_elec_plants" localSheetId="13">World!$C$335</definedName>
    <definedName name="efficiency_waste_for_heat_in_CHP_plants" localSheetId="13">World!$C$336</definedName>
    <definedName name="efficiency_waste_for_heat_plants" localSheetId="13">World!$C$334</definedName>
    <definedName name="ELECTRICITY_HEAT" localSheetId="13">World!$D$79:$X$79</definedName>
    <definedName name="energy_bus_elec" localSheetId="13">World!$B$430</definedName>
    <definedName name="energy_bus_gas" localSheetId="13">World!$B$431</definedName>
    <definedName name="energy_bus_hyb" localSheetId="13">World!$B$429</definedName>
    <definedName name="energy_bus_liq" localSheetId="13">World!$B$428</definedName>
    <definedName name="energy_H_4w_elec" localSheetId="13">World!$B$415</definedName>
    <definedName name="energy_H_4w_gas" localSheetId="13">World!$B$417</definedName>
    <definedName name="energy_H_4w_hyb" localSheetId="13">World!$B$416</definedName>
    <definedName name="energy_H_4w_liq" localSheetId="13">World!$B$414</definedName>
    <definedName name="energy_H2w_E" localSheetId="13">World!$C$419</definedName>
    <definedName name="energy_H2w_liq" localSheetId="13">World!$B$418</definedName>
    <definedName name="energy_HV_gas" localSheetId="13">World!$B$423</definedName>
    <definedName name="energy_HV_hib" localSheetId="13">World!$B$422</definedName>
    <definedName name="energy_HV_liq" localSheetId="13">World!$B$421</definedName>
    <definedName name="Energy_industry_own_use" localSheetId="13">World!$C$115:$X$115</definedName>
    <definedName name="energy_LV_elec" localSheetId="13">World!$B$425</definedName>
    <definedName name="energy_LV_gas" localSheetId="13">World!$B$427</definedName>
    <definedName name="energy_LV_hyb" localSheetId="13">World!$B$426</definedName>
    <definedName name="energy_LV_liq" localSheetId="13">World!$B$424</definedName>
    <definedName name="energy_train_elec" localSheetId="13">World!$C$434</definedName>
    <definedName name="energy_train_liq" localSheetId="13">World!$B$433</definedName>
    <definedName name="energy_train_liq_E" localSheetId="13">World!$B$432</definedName>
    <definedName name="EROIst_CSP" localSheetId="13">World!$W$266</definedName>
    <definedName name="EROIst_geot_elec" localSheetId="13">World!$W$260</definedName>
    <definedName name="EROIst_ini_hydro_2015" localSheetId="13">World!$I$273</definedName>
    <definedName name="EROIst_initial_Hydro" localSheetId="13">World!$G$273:$R$273</definedName>
    <definedName name="EROIst_oceanic" localSheetId="13">World!$W$262</definedName>
    <definedName name="EROIst_solar_PV" localSheetId="13">World!$W$265</definedName>
    <definedName name="EROIst_solid_bioE_elec" localSheetId="13">World!$W$261</definedName>
    <definedName name="EROIst_wind_offshore" localSheetId="13">World!$W$264</definedName>
    <definedName name="EROIst_wind_onshore" localSheetId="13">World!$W$263</definedName>
    <definedName name="EWG13_Uranium" localSheetId="13">World!$C$248</definedName>
    <definedName name="EWG13_Uranium_extraction" localSheetId="13">World!$C$250:$P$250</definedName>
    <definedName name="EWG13_Uranium_remaining" localSheetId="13">World!$C$249:$P$249</definedName>
    <definedName name="exp_rapid_evolution_change_energy_H" localSheetId="13">World!$C$850</definedName>
    <definedName name="exp_rapid_evolution_change_energy_sectors" localSheetId="13">World!$C$854</definedName>
    <definedName name="exp_rapid_evolution_improve_efficiency_H" localSheetId="13">World!$C$848</definedName>
    <definedName name="exp_rapid_evolution_improve_efficiency_sectors" localSheetId="13">World!$C$852</definedName>
    <definedName name="exp_slow_evolution_change_energy_H" localSheetId="13">World!$C$849</definedName>
    <definedName name="exp_slow_evolution_change_energy_sectors" localSheetId="13">World!$C$853</definedName>
    <definedName name="exp_slow_evolution_improve_efficiency_H" localSheetId="13">World!$C$847</definedName>
    <definedName name="exp_slow_evolution_improve_efficiency_sectors" localSheetId="13">World!$C$851</definedName>
    <definedName name="exponent_availability_conv_gas" localSheetId="13">World!$O$301</definedName>
    <definedName name="exponent_availability_conv_oil" localSheetId="13">World!$O$300</definedName>
    <definedName name="FACTOR_BACKUP_POWER_SYSTEM">Common!$B$119</definedName>
    <definedName name="fficiency_Heat_plants_oil" localSheetId="13">World!$D$295</definedName>
    <definedName name="Final_before_heat_correction_to_primary_energy_2015" localSheetId="13">World!$D$162</definedName>
    <definedName name="Fossil_fuel_CHP" localSheetId="13">World!$D$123:$X$123</definedName>
    <definedName name="Fossil_fuel_CHP_Elec" localSheetId="13">World!$D$123:$X$123</definedName>
    <definedName name="Fossil_Fuel_CHP_Heat" localSheetId="13">World!$D$131:$X$131</definedName>
    <definedName name="GASES" localSheetId="13">World!$D$77:$X$77</definedName>
    <definedName name="Geothermal" localSheetId="13">World!$D$57:$X$57</definedName>
    <definedName name="geothermal_initial_power_density" localSheetId="13">World!$B$260</definedName>
    <definedName name="Geothermal_past_capacity_growth" localSheetId="13">World!$D$141</definedName>
    <definedName name="Global_arable_land" localSheetId="13">World!$C$322</definedName>
    <definedName name="H_elec" localSheetId="13">World!$B$447</definedName>
    <definedName name="H_gas" localSheetId="13">World!$B$449</definedName>
    <definedName name="H_hyb" localSheetId="13">World!$B$448</definedName>
    <definedName name="H_liq" localSheetId="13">World!$B$446</definedName>
    <definedName name="H2w_elec" localSheetId="13">World!$B$451</definedName>
    <definedName name="H2w_liq" localSheetId="13">World!$B$450</definedName>
    <definedName name="High" localSheetId="13">World!$K$299</definedName>
    <definedName name="High_Mohr15_unconv_gas" localSheetId="13">World!$C$213</definedName>
    <definedName name="High_Mohr15_unconv_gas_extraction" localSheetId="13">World!$C$215:$S$215</definedName>
    <definedName name="High_Mohr15_unconv_gas_remaining" localSheetId="13">World!$C$214:$S$214</definedName>
    <definedName name="High_mohr15_unconv_oil" localSheetId="13">World!$C$180</definedName>
    <definedName name="High_mohr15_unconv_oil_URR_extraction" localSheetId="13">World!$C$182:$Y$182</definedName>
    <definedName name="High_mohr15_unconv_oil_URR_remaining" localSheetId="13">World!$C$181:$Y$181</definedName>
    <definedName name="High_Mohr2015_coal" localSheetId="13">World!$C$241</definedName>
    <definedName name="High_Mohr2015_coal_extraction" localSheetId="13">World!$C$243:$X$243</definedName>
    <definedName name="High_Mohr2015_coal_remaining" localSheetId="13">World!$C$242:$X$242</definedName>
    <definedName name="High_Mohr2015_conv_gas" localSheetId="13">World!$C$204</definedName>
    <definedName name="High_Mohr2015_conv_gas_extraction" localSheetId="13">World!$C$206:$R$206</definedName>
    <definedName name="High_Mohr2015_conv_gas_remaining" localSheetId="13">World!$C$205:$R$205</definedName>
    <definedName name="Hist_share_gas_vs_coal_gas_Elec" localSheetId="13">World!$D$12:$X$12</definedName>
    <definedName name="Hist_share_gas_vs_coal_gas_heat" localSheetId="13">World!$D$46:$X$46</definedName>
    <definedName name="Hist_share_oil_Elec" localSheetId="13">World!$D$11:$X$11</definedName>
    <definedName name="Historic_coal_extraction" localSheetId="13">World!$D$20:$X$20</definedName>
    <definedName name="Historic_crude_oil_extraction" localSheetId="13">World!$D$21:$X$21</definedName>
    <definedName name="historic_elec_intensity_by_sector" localSheetId="13">World!$C$517:$Q$551</definedName>
    <definedName name="historic_elec_intensity_households" localSheetId="13">World!$C$552:$Q$552</definedName>
    <definedName name="Historic_electricity_consumption" localSheetId="13">World!$D$45:$X$45</definedName>
    <definedName name="historic_gases_intensity_by_households" localSheetId="13">World!$C$660:$Q$660</definedName>
    <definedName name="historic_gases_intensity_by_sector" localSheetId="13">World!$C$625:$Q$659</definedName>
    <definedName name="Historic_geothermal_for_heat" localSheetId="13">World!$D$39:$X$39</definedName>
    <definedName name="Historic_geothermal_for_heat_com" localSheetId="13">World!$D$39:$X$39</definedName>
    <definedName name="Historic_geothermal_for_heat_nc" localSheetId="13">World!$D$33:$X$33</definedName>
    <definedName name="historic_heat_intensity_by_households" localSheetId="13">World!$C$588:$Q$588</definedName>
    <definedName name="historic_heat_intensity_by_sector" localSheetId="13">World!$C$553:$Q$587</definedName>
    <definedName name="Historic_liquids_extraction" localSheetId="13">World!$D$22:$X$22</definedName>
    <definedName name="historic_liquids_intensity_by_households" localSheetId="13">World!$C$624:$Q$624</definedName>
    <definedName name="historic_liquids_intensity_by_sector" localSheetId="13">World!$C$589:$Q$623</definedName>
    <definedName name="Historic_natural_gas_extraction" localSheetId="13">World!$D$19:$X$19</definedName>
    <definedName name="historic_nuclear_generation_TWh" localSheetId="13">World!$D$41:$X$41</definedName>
    <definedName name="HISTORIC_PV_MODULES_EFFICIENCY">PV!$D$31:$T$34</definedName>
    <definedName name="historic_share_installed_PV_urban_vs_tot_PV" localSheetId="13">World!$D$49:$X$49</definedName>
    <definedName name="Historic_share_liquids_for_heat_plants" localSheetId="13">World!$D$48:$X$48</definedName>
    <definedName name="Historic_solar_for_heat" localSheetId="13">World!$D$37:$X$37</definedName>
    <definedName name="Historic_solar_for_heat_com" localSheetId="13">World!$D$37:$X$37</definedName>
    <definedName name="Historic_solar_for_heat_nc" localSheetId="13">World!$D$31:$X$31</definedName>
    <definedName name="Historic_solid_bioE_heat" localSheetId="13">World!$D$35:$X$35</definedName>
    <definedName name="Historic_solid_bioE_heat_com" localSheetId="13">World!$D$35:$X$35</definedName>
    <definedName name="Historic_solid_bioE_heat_nc" localSheetId="13">World!$D$29:$X$29</definedName>
    <definedName name="historic_solids_intensity_by_households" localSheetId="13">World!$C$696:$Q$696</definedName>
    <definedName name="historic_solids_intensity_by_sector" localSheetId="13">World!$C$661:$Q$695</definedName>
    <definedName name="historic_time_index" localSheetId="13">World!$C$516:$Q$516</definedName>
    <definedName name="Historic_total_RES_extraction" localSheetId="13">World!$D$24:$X$24</definedName>
    <definedName name="Historic_TPES" localSheetId="13">World!$D$23:$X$23</definedName>
    <definedName name="Historic_TPES_primary_solids_biofuels" localSheetId="13">World!$D$87:$X$87</definedName>
    <definedName name="Historical_efficiency_gas_for_electricity" localSheetId="13">World!$D$43:$X$43</definedName>
    <definedName name="historical_mean_rate_energy_intensity" localSheetId="13">World!$B$479:$F$513</definedName>
    <definedName name="historical_mean_rate_energy_intensity_H" localSheetId="13">World!$B$514:$F$514</definedName>
    <definedName name="Historical_unconv_gas" localSheetId="13">World!$D$5:$X$5</definedName>
    <definedName name="Historical_unconv_oil" localSheetId="13">World!$D$4:$X$4</definedName>
    <definedName name="HV_gas" localSheetId="13">World!$B$455</definedName>
    <definedName name="HV_hyb" localSheetId="13">World!$B$454</definedName>
    <definedName name="HV_liq" localSheetId="13">World!$B$453</definedName>
    <definedName name="Hydro_past_capacity_growth" localSheetId="13">World!$D$140</definedName>
    <definedName name="Hydroelectricity_withouth_PHS" localSheetId="13">World!$D$55:$X$55</definedName>
    <definedName name="Iinitial_instal_cap_Geothermal" localSheetId="13">World!$D$58</definedName>
    <definedName name="IMV_annual_operating_hours_maximum_per_transformation_process" localSheetId="6">CHINA!$B$117:$B$158</definedName>
    <definedName name="IMV_annual_operating_hours_maximum_per_transformation_process" localSheetId="5">EASOC!$B$117:$B$158</definedName>
    <definedName name="IMV_annual_operating_hours_maximum_per_transformation_process" localSheetId="3">'EU27'!$B$117:$B$158</definedName>
    <definedName name="IMV_annual_operating_hours_maximum_per_transformation_process" localSheetId="7">INDIA!$B$117:$B$158</definedName>
    <definedName name="IMV_annual_operating_hours_maximum_per_transformation_process" localSheetId="8">LATAM!$B$117:$B$158</definedName>
    <definedName name="IMV_annual_operating_hours_maximum_per_transformation_process" localSheetId="11">LROW!$B$117:$B$158</definedName>
    <definedName name="IMV_annual_operating_hours_maximum_per_transformation_process" localSheetId="9">RUSSIA!$B$117:$B$158</definedName>
    <definedName name="IMV_annual_operating_hours_maximum_per_transformation_process" localSheetId="2">Template!$B$117:$B$158</definedName>
    <definedName name="IMV_annual_operating_hours_maximum_per_transformation_process" localSheetId="4">UK!$B$117:$B$158</definedName>
    <definedName name="IMV_annual_operating_hours_maximum_per_transformation_process" localSheetId="10">USMCA!$B$117:$B$158</definedName>
    <definedName name="Initial_efficiency_gas_for_electricity" localSheetId="13">World!$D$44</definedName>
    <definedName name="Initial_energy_intensity_2005_H" localSheetId="13">World!$G$514:$K$514</definedName>
    <definedName name="Initial_energy_intensity_by_fuel_and_sector_2005" localSheetId="13">World!$G$479:$K$513</definedName>
    <definedName name="Initial_gen_nuclear" localSheetId="13">World!$D$42</definedName>
    <definedName name="Initial_global_energy_intensity_by_households_2009" localSheetId="13">World!$AA$514</definedName>
    <definedName name="Initial_global_energy_intensity_by_sector_2009" localSheetId="13">World!$AA$479:$AA$513</definedName>
    <definedName name="INITIAL_HEAT_EFFICIENCY_ELECTRIC_BOILERS">Common!$D$104:$D$112</definedName>
    <definedName name="INITIAL_HEAT_EFFICIENCY_HEAT_PUMPS">Common!$D$93:$D$101</definedName>
    <definedName name="Initial_install_cap_Geothermal" localSheetId="13">World!$D$58</definedName>
    <definedName name="Initial_install_cap_Hydroelectricity_withouth_PHS" localSheetId="13">World!$D$56</definedName>
    <definedName name="Initial_install_cap_Oceanic" localSheetId="13">World!$D$62</definedName>
    <definedName name="Initial_install_cap_Offshore_wind" localSheetId="13">World!$D$66</definedName>
    <definedName name="Initial_install_cap_PHS" localSheetId="13">World!$D$72</definedName>
    <definedName name="Initial_install_cap_Solar_CSP" localSheetId="13">World!$D$70</definedName>
    <definedName name="Initial_install_cap_Solar_PV" localSheetId="13">World!$D$68</definedName>
    <definedName name="Initial_install_cap_solid_bioenergy_for_electricity" localSheetId="13">World!$D$60</definedName>
    <definedName name="Initial_install_cap_Wind_onshore" localSheetId="13">World!$D$64</definedName>
    <definedName name="INITIAL_INSTALLED_CAPACITY_ELECTRIC_BOILERS">Common!$B$104:$B$112</definedName>
    <definedName name="INITIAL_INSTALLED_CAPACITY_HEAT_PUMPS">Common!$B$93:$B$101</definedName>
    <definedName name="INITIAL_LIFETIME_ELECTRIC_BOILERS">Common!$C$104:$C$112</definedName>
    <definedName name="INITIAL_LIFETIME_HEAT_PUMPS">Common!$C$93:$C$101</definedName>
    <definedName name="Initial_non_energy_use_ELECTRICITY_HEAT" localSheetId="13">World!$D$80</definedName>
    <definedName name="Initial_non_energy_use_GASES" localSheetId="13">World!$D$78</definedName>
    <definedName name="Initial_non_energy_use_LIQUIDS" localSheetId="13">World!$D$76</definedName>
    <definedName name="Initial_non_energy_use_SOLIDS" localSheetId="13">World!$D$74</definedName>
    <definedName name="Initial_PES_biogas" localSheetId="13">World!$D$103</definedName>
    <definedName name="Initial_PES_waste" localSheetId="13">World!$D$89</definedName>
    <definedName name="INITIAL_PV_MODULES_EFFICIENCY">PV!$D$31:$D$34</definedName>
    <definedName name="INITIAL_SHARE_WEIGHTS_EVS_BATTERIES">allocation_new_capacity_subtech!$C$9:$C$13</definedName>
    <definedName name="INITIAL_SHARE_WEIGHTS_PV_TECHNOLOGIES">allocation_new_capacity_subtech!$C$17:$C$20</definedName>
    <definedName name="Initial_value_geothermal_for_heat_com" localSheetId="13">World!$D$40</definedName>
    <definedName name="Initial_value_geothermal_for_heat_nc" localSheetId="13">World!$D$34</definedName>
    <definedName name="Initial_value_land_compet_biofuels_2gen_ktoe" localSheetId="13">World!$D$27</definedName>
    <definedName name="Initial_value_Solar_for_heat_com" localSheetId="13">World!$D$38</definedName>
    <definedName name="Initial_value_Solar_for_heat_nc" localSheetId="13">World!$D$32</definedName>
    <definedName name="Initial_value_solid_bioE_for_heat_com" localSheetId="13">World!$D$36</definedName>
    <definedName name="Initial_value_solid_bioE_for_heat_nc" localSheetId="13">World!$D$30</definedName>
    <definedName name="inland_transport_output_def" localSheetId="13">World!$B$438</definedName>
    <definedName name="inland_trasnport_econ_activity" localSheetId="13">World!$B$438</definedName>
    <definedName name="INPUTS_ENERGY_VARIABILITY_REGRESSION">Common!$A$116:$M$116</definedName>
    <definedName name="IRRADIANCE_STANDAR_CONDITIONS">PV!$D$12</definedName>
    <definedName name="Laherrère_2006_total_oil" localSheetId="13">World!$C$186</definedName>
    <definedName name="Laherrère_2006_total_oil_share_of_unconv_vs_Total_extraction_in_2050" localSheetId="13">World!$C$187</definedName>
    <definedName name="Laherrère_2006_total_oil_share_of_unconv_vs_Total_extraction_in_2050_Dmnl" localSheetId="13">World!$C$187</definedName>
    <definedName name="Laherrère_2006_total_oil_URR_extraction" localSheetId="13">World!$C$189:$AE$189</definedName>
    <definedName name="Laherrère_2006_total_oil_URR_remaining" localSheetId="13">World!$C$188:$AE$188</definedName>
    <definedName name="Laherrère10_total_gas" localSheetId="13">World!$C$219</definedName>
    <definedName name="Laherrère10_total_gas_extraction" localSheetId="13">World!$C$222:$AC$222</definedName>
    <definedName name="Laherrère10_total_gas_remaining" localSheetId="13">World!$C$221:$AC$221</definedName>
    <definedName name="Laherrère10_total_gas_share_of_unconv_vs_Total_extraction_in_2050" localSheetId="13">World!$C$220</definedName>
    <definedName name="Laherrère2018_conv_oil" localSheetId="13">World!$C$190</definedName>
    <definedName name="Laherrère2018_conv_oil_extraction" localSheetId="13">World!$C$192:$Q$192</definedName>
    <definedName name="Laherrère2018_conv_oil_remaining" localSheetId="13">World!$C$191:$Q$191</definedName>
    <definedName name="Laherrère2018_total_gas" localSheetId="13">World!$C$227</definedName>
    <definedName name="Laherrère2018_total_gas_extraction" localSheetId="13">World!$C$230:$U$230</definedName>
    <definedName name="Laherrère2018_total_gas_remaining" localSheetId="13">World!$C$229:$U$229</definedName>
    <definedName name="Laherrère2018_total_gas_share_of_unconv_vs_Total_extraction_in_2050_Dmnl" localSheetId="13">World!$C$228</definedName>
    <definedName name="Laherrère2018_total_oil" localSheetId="13">World!$C$196</definedName>
    <definedName name="Laherrère2018_total_oil_extraction" localSheetId="13">World!$C$199:$S$199</definedName>
    <definedName name="Laherrère2018_total_oil_remaining" localSheetId="13">World!$C$198:$S$198</definedName>
    <definedName name="Laherrère2018_total_oil_share_of_unconv_vs_Total_extraction_in_2050" localSheetId="13">World!$C$197</definedName>
    <definedName name="Laherrère2018_total_oil_share_of_unconv_vs_Total_extraction_in_2050_Dmnl" localSheetId="13">World!$C$197</definedName>
    <definedName name="Laherrère2018_unconv_oil" localSheetId="13">World!$C$193</definedName>
    <definedName name="Laherrère2018_unconv_oil_extraction" localSheetId="13">World!$C$195:$R$195</definedName>
    <definedName name="Laherrère2018_unconv_oil_remaining" localSheetId="13">World!$C$194:$R$194</definedName>
    <definedName name="Land_occupation_ratio_biofuels_marg_land" localSheetId="13">World!$C$313</definedName>
    <definedName name="Land_occupation_ratio_f3" localSheetId="13">World!$K$289</definedName>
    <definedName name="Land_productivity_biofuels_2nd_gen_EJ_MHa" localSheetId="13">World!$C$310</definedName>
    <definedName name="Land_productivity_biofuels_marg_EJ_MHa" localSheetId="13">World!$C$314</definedName>
    <definedName name="life_time_nuclear" localSheetId="13">World!$C$267</definedName>
    <definedName name="life_time_RES_for_heat" localSheetId="13">World!$C$268:$C$270</definedName>
    <definedName name="LIQUIDS" localSheetId="13">World!$D$75:$X$75</definedName>
    <definedName name="LOGIT_MODEL_COEFFICIENT_OR_EXPONENT">allocation_new_capacity_subtech!$C$5</definedName>
    <definedName name="Losses_in_Charcoal_plants_EJ" localSheetId="13">World!$D$100:$X$100</definedName>
    <definedName name="Losses_solar_for_heat" localSheetId="13">World!$G$293</definedName>
    <definedName name="Low" localSheetId="13">World!$K$297</definedName>
    <definedName name="Low_Mohr15_unconv_gas" localSheetId="13">World!$C$216</definedName>
    <definedName name="Low_Mohr15_unconv_gas_extraction" localSheetId="13">World!$C$218:$J$218</definedName>
    <definedName name="Low_Mohr15_unconv_gas_remaining" localSheetId="13">World!$C$217:$J$217</definedName>
    <definedName name="Low_mohr15_unconv_oil" localSheetId="13">World!$C$183</definedName>
    <definedName name="Low_mohr15_unconv_oil_URR_extraction" localSheetId="13">World!$C$185:$O$185</definedName>
    <definedName name="Low_mohr15_unconv_oil_URR_remaining" localSheetId="13">World!$C$184:$O$184</definedName>
    <definedName name="Low_Mohr2015_coal" localSheetId="13">World!$C$235</definedName>
    <definedName name="Low_Mohr2015_coal_extraction" localSheetId="13">World!$C$237:$AF$237</definedName>
    <definedName name="Low_Mohr2015_coal_remaining" localSheetId="13">World!$C$236:$AF$236</definedName>
    <definedName name="Low_Mohr2015_conv_gas" localSheetId="13">World!$C$201</definedName>
    <definedName name="Low_Mohr2015_conv_gas_extraction" localSheetId="13">World!$C$203:$M$203</definedName>
    <definedName name="Low_Mohr2015_conv_gas_remaining" localSheetId="13">World!$C$202:$M$202</definedName>
    <definedName name="LV_elec" localSheetId="13">World!$B$457</definedName>
    <definedName name="LV_gas" localSheetId="13">World!$B$459</definedName>
    <definedName name="LV_hyb" localSheetId="13">World!$B$458</definedName>
    <definedName name="LV_liq" localSheetId="13">World!$B$456</definedName>
    <definedName name="MACHINING_RATE_PV">PV!$D$16</definedName>
    <definedName name="Maggio12_high_conv_oil" localSheetId="13">World!$C$174</definedName>
    <definedName name="Maggio12_high_conv_oil_URR_extraction" localSheetId="13">World!$C$176:$AK$176</definedName>
    <definedName name="Maggio12_high_conv_oil_URR_remaining" localSheetId="13">World!$C$175:$AK$175</definedName>
    <definedName name="Maggio12_low_conv_oil" localSheetId="13">World!$C$168</definedName>
    <definedName name="Maggio12_low_conv_oil_URR_extraction" localSheetId="13">World!$C$170:$AB$170</definedName>
    <definedName name="Maggio12_low_conv_oil_URR_remaining" localSheetId="13">World!$C$169:$AB$169</definedName>
    <definedName name="Maggio12_middle_conv_oil" localSheetId="13">World!$C$171</definedName>
    <definedName name="Maggio12_middle_conv_oil_URR_extraction" localSheetId="13">World!$C$173:$AF$173</definedName>
    <definedName name="Maggio12_middle_conv_oil_URR_remaining" localSheetId="13">World!$C$172:$AF$172</definedName>
    <definedName name="MANUFACTURING_ENERGY_OF_PV_PANELS">PV!$F$5:$F$8</definedName>
    <definedName name="Max_efficiency_gas_power_plant" localSheetId="13">World!$C$299</definedName>
    <definedName name="max_lifetime_EV_batteries" localSheetId="13">World!$K$302</definedName>
    <definedName name="Max_yearly_change_between_sources" localSheetId="13">World!$L$479:$P$513</definedName>
    <definedName name="Max_yearly_change_H" localSheetId="13">World!$L$514:$P$514</definedName>
    <definedName name="Maximum_auxiliar_interexchange_elec" localSheetId="13">World!$K$294</definedName>
    <definedName name="Maximum_auxiliar_interexchange_heat" localSheetId="13">World!$K$293</definedName>
    <definedName name="MAXIMUM_EXTRACTION_URANIUM_EWG06">World!$C$253:$M$253</definedName>
    <definedName name="Maximum_yearly_aceleration_of_intensity_improvement_pct_H" localSheetId="13">World!$Q$514:$U$514</definedName>
    <definedName name="Maximun_yearly_aceleration_of_energy_intensity_improvement" localSheetId="13">World!$Q$479:$U$513</definedName>
    <definedName name="Medium" localSheetId="13">World!$K$298</definedName>
    <definedName name="Memo_Coal_peat_and_oil_shale_Elec" localSheetId="13">World!$D$121:$X$121</definedName>
    <definedName name="Memo_Coal_peat_and_oil_shale_Heat" localSheetId="13">World!$D$128:$X$128</definedName>
    <definedName name="Memo_Primary_and_secondary_oil_Elec" localSheetId="13">World!$D$122:$X$122</definedName>
    <definedName name="Memo_Primary_and_secondary_oil_Heat" localSheetId="13">World!$D$129:$X$129</definedName>
    <definedName name="Memo_Renewables_Elec" localSheetId="13">World!$D$119:$X$119</definedName>
    <definedName name="min_CF_nuclear" localSheetId="13">World!$V$267</definedName>
    <definedName name="min_lifetime_EV_batteries" localSheetId="13">World!$G$296</definedName>
    <definedName name="Minimum_fraction_of_this_source" localSheetId="13">World!$V$479:$Z$513</definedName>
    <definedName name="Minimum_fraction_of_this_source_H" localSheetId="13">World!$V$514:$Z$514</definedName>
    <definedName name="Mohr12_BG_total_gas" localSheetId="13">World!$C$223</definedName>
    <definedName name="Mohr12_BG_total_gas_extraction" localSheetId="13">World!$C$226:$W$226</definedName>
    <definedName name="Mohr12_BG_total_gas_remaining" localSheetId="13">World!$C$225:$W$225</definedName>
    <definedName name="Mohr12_BG_total_gas_share_of_unconv_vs_Total_extraction_in_2050" localSheetId="13">World!$C$224</definedName>
    <definedName name="Mohr12_BG_total_gas_share_of_unconv_vs_Total_extraction_in_2050_Dmnl" localSheetId="13">World!$C$224</definedName>
    <definedName name="mohr12_coal" localSheetId="13">World!$C$232</definedName>
    <definedName name="mohr12_coal_extraction" localSheetId="13">World!$C$234:$Q$234</definedName>
    <definedName name="mohr12_coal_remaining" localSheetId="13">World!$C$233:$Q$233</definedName>
    <definedName name="NAT_GAS_pct_losses" localSheetId="13">World!$D$83:$X$83</definedName>
    <definedName name="Natural_gas_Elec" localSheetId="13">World!$D$120:$X$120</definedName>
    <definedName name="Natural_gas_Heat" localSheetId="13">World!$D$127:$X$127</definedName>
    <definedName name="Net_stored_energy_EV_battery_over_lifetime" localSheetId="13">World!$G$299</definedName>
    <definedName name="Nuclear_Elec" localSheetId="13">World!$D$118:$X$118</definedName>
    <definedName name="Nuclear_Heat" localSheetId="13">World!$D$126:$X$126</definedName>
    <definedName name="number_bus_elec" localSheetId="13">World!$B$379</definedName>
    <definedName name="number_bus_gas" localSheetId="13">World!$B$381</definedName>
    <definedName name="number_bus_hyb" localSheetId="13">World!$B$380</definedName>
    <definedName name="number_bus_liq" localSheetId="13">World!$B$378</definedName>
    <definedName name="number_H_elec" localSheetId="13">World!$B$364</definedName>
    <definedName name="number_H_gas" localSheetId="13">World!$B$366</definedName>
    <definedName name="number_H_hib" localSheetId="13">World!$B$365</definedName>
    <definedName name="number_H_liq" localSheetId="13">World!$B$363</definedName>
    <definedName name="number_H2w_E" localSheetId="13">World!$B$368</definedName>
    <definedName name="number_H2w_liq" localSheetId="13">World!$B$367</definedName>
    <definedName name="number_HV_gas" localSheetId="13">World!$B$373</definedName>
    <definedName name="number_HV_hyb" localSheetId="13">World!$B$372</definedName>
    <definedName name="number_HV_liq" localSheetId="13">World!$B$371</definedName>
    <definedName name="number_LV_elec" localSheetId="13">World!$B$375</definedName>
    <definedName name="number_LV_gas" localSheetId="13">World!$B$377</definedName>
    <definedName name="number_LV_hyb" localSheetId="13">World!$B$376</definedName>
    <definedName name="number_LV_liq" localSheetId="13">World!$B$374</definedName>
    <definedName name="number_total_households" localSheetId="13">World!$B$369</definedName>
    <definedName name="number_total_vehicles_T_sector" localSheetId="13">World!$B$383</definedName>
    <definedName name="number_train_E_and__train_liq" localSheetId="13">World!$B$382</definedName>
    <definedName name="occupancy_rate_2w_vehicle" localSheetId="13">World!$K$310</definedName>
    <definedName name="occupancy_rate_4w_vehicle" localSheetId="13">World!$K$309</definedName>
    <definedName name="occupancy_rate_ebike" localSheetId="13">World!$K$311</definedName>
    <definedName name="Oceanic" localSheetId="13">World!$D$61:$X$61</definedName>
    <definedName name="oceanic_initial_power_density" localSheetId="13">World!$B$262</definedName>
    <definedName name="Oceanic_past_capacity_growth" localSheetId="13">World!$D$143</definedName>
    <definedName name="Offshore_wind" localSheetId="13">World!$D$65:$X$65</definedName>
    <definedName name="OIL_pct_losses" localSheetId="13">World!$D$82:$X$82</definedName>
    <definedName name="Oil_refinery_gains_share" localSheetId="13">World!$C$325</definedName>
    <definedName name="OL_PV">PV!$E$16</definedName>
    <definedName name="OPERATION_AND_MAINTAINANCE_COST">Common!$B$20:$F$47</definedName>
    <definedName name="OPERATION_AND_MAINTAINANCE_TIME">Common!$B$19:$F$19</definedName>
    <definedName name="OVERCAPACITY_FACTOR_ELEC" localSheetId="14">Common!$B$80:$B$88</definedName>
    <definedName name="OVERCAPACITY_FACTOR_ELEC">#REF!</definedName>
    <definedName name="OVERCAPACITY_FACTOR_HEAT" localSheetId="14">Common!$C$80:$C$88</definedName>
    <definedName name="OVERCAPACITY_FACTOR_HEAT">#REF!</definedName>
    <definedName name="Past_biogas_growth" localSheetId="13">World!$D$104</definedName>
    <definedName name="past_geothermal_growth_for_heat_com" localSheetId="13">World!$D$155</definedName>
    <definedName name="past_geothermal_growth_for_heat_nc" localSheetId="13">World!$D$158</definedName>
    <definedName name="past_solar_growth_for_heat_com" localSheetId="13">World!$D$154</definedName>
    <definedName name="past_solar_growth_for_heat_nc" localSheetId="13">World!$D$157</definedName>
    <definedName name="past_solid_bioE_heat_com" localSheetId="13">World!$D$156</definedName>
    <definedName name="past_solid_bioE_heat_nc" localSheetId="13">World!$D$159</definedName>
    <definedName name="Past_waste_growth" localSheetId="13">World!$D$90</definedName>
    <definedName name="pc_losses_transformation_vs_extraction_coal" localSheetId="13">World!$D$85:$X$85</definedName>
    <definedName name="pc_losses_transformation_vs_extraction_oil" localSheetId="13">World!$D$84:$X$84</definedName>
    <definedName name="pct_CHP_plants_vs_total_heat_output" localSheetId="13">World!$D$50:$X$50</definedName>
    <definedName name="Pct_gas_in_fossil_CHP_plants" localSheetId="13">World!$D$51:$X$51</definedName>
    <definedName name="Pct_liquids_in_fossil_CHP_plants" localSheetId="13">World!$D$53:$X$53</definedName>
    <definedName name="Pct_solids_in_fossil_CHP_plants" localSheetId="13">World!$D$52:$X$52</definedName>
    <definedName name="Peat_EJ" localSheetId="13">World!$D$101:$X$101</definedName>
    <definedName name="People_relying_trad_biomass_ref" localSheetId="13">World!$C$309</definedName>
    <definedName name="PEpc_consumption_trad_biomass_ref" localSheetId="13">World!$C$308</definedName>
    <definedName name="percent_2_wheelers" localSheetId="13">World!$B$392</definedName>
    <definedName name="percent_4_wheelers" localSheetId="13">World!$B$391</definedName>
    <definedName name="percent_bus_elec" localSheetId="13">World!$B$402</definedName>
    <definedName name="percent_bus_gas" localSheetId="13">World!$B$404</definedName>
    <definedName name="percent_bus_hyb" localSheetId="13">World!$B$403</definedName>
    <definedName name="percent_bus_liq" localSheetId="13">World!$B$401</definedName>
    <definedName name="percent_H_4w_elec" localSheetId="13">World!$B$386</definedName>
    <definedName name="percent_H_4w_gas" localSheetId="13">World!$B$388</definedName>
    <definedName name="percent_H_4w_liq" localSheetId="13">World!$B$385</definedName>
    <definedName name="percent_H2w_E" localSheetId="13">World!$B$390</definedName>
    <definedName name="percent_H2w_liq" localSheetId="13">World!$B$389</definedName>
    <definedName name="percent_H4w_hyb" localSheetId="13">World!$B$387</definedName>
    <definedName name="percent_HV_gas" localSheetId="13">World!$B$396</definedName>
    <definedName name="percent_HV_hyb" localSheetId="13">World!$B$395</definedName>
    <definedName name="percent_HV_liq" localSheetId="13">World!$B$394</definedName>
    <definedName name="percent_inland_vehicles_initial" localSheetId="13">World!$B$394:$B$406</definedName>
    <definedName name="percent_LV_elec" localSheetId="13">World!$B$398</definedName>
    <definedName name="percent_LV_gas" localSheetId="13">World!$B$400</definedName>
    <definedName name="percent_LV_hyb" localSheetId="13">World!$B$399</definedName>
    <definedName name="percent_LV_liq" localSheetId="13">World!$B$397</definedName>
    <definedName name="percent_train_E" localSheetId="13">World!$B$406</definedName>
    <definedName name="percent_train_liq" localSheetId="13">World!$B$405</definedName>
    <definedName name="Performance_ratio_over_park_s_lifetime_f2" localSheetId="13">World!$K$288</definedName>
    <definedName name="PHS" localSheetId="13">World!$D$71:$X$71</definedName>
    <definedName name="PHS_past_capacity_growth" localSheetId="13">World!$D$139</definedName>
    <definedName name="Pipeline_transport" localSheetId="13">World!$C$116:$X$116</definedName>
    <definedName name="Power_density_Hydro_Twe_Mha" localSheetId="13">World!$G$272:$R$272</definedName>
    <definedName name="POWER_PV_PANEL_BASELINE">PV!$D$5:$D$8</definedName>
    <definedName name="Primary_energy_coal_for_CHP_plants_IOT_EJ" localSheetId="13">World!$D$107:$X$107</definedName>
    <definedName name="Primary_energy_coal_for_Elec_plants_IOT_EJ" localSheetId="13">World!$D$105:$X$105</definedName>
    <definedName name="Primary_energy_coal_for_Heat_plants_IOT_EJ" localSheetId="13">World!$D$106:$X$106</definedName>
    <definedName name="Primary_energy_gas_for_CHP_plants_IOT_EJ" localSheetId="13">World!$D$110:$X$110</definedName>
    <definedName name="Primary_energy_gas_for_Elec_plants_IOT_EJ" localSheetId="13">World!$D$108:$X$108</definedName>
    <definedName name="Primary_energy_gas_for_Heat_plants_IOT_EJ" localSheetId="13">World!$D$109:$X$109</definedName>
    <definedName name="Primary_energy_liquids_for_CHP_plants_IOT_EJ" localSheetId="13">World!$D$113:$X$113</definedName>
    <definedName name="Primary_energy_liquids_for_Elec_plants_IOT_EJ" localSheetId="13">World!$D$111:$X$111</definedName>
    <definedName name="Primary_energy_liquids_for_Heat_plants_IOT_EJ" localSheetId="13">World!$D$112:$X$112</definedName>
    <definedName name="primary_energy_shares_of_process_and_commodity" localSheetId="14">Common!$B$3:$M$16</definedName>
    <definedName name="process_refinery_required_shares_of_process_and_commodity_max" localSheetId="6">CHINA!$B$73:$O$86</definedName>
    <definedName name="process_refinery_required_shares_of_process_and_commodity_max" localSheetId="5">EASOC!$B$73:$O$86</definedName>
    <definedName name="process_refinery_required_shares_of_process_and_commodity_max" localSheetId="3">'EU27'!$B$73:$O$86</definedName>
    <definedName name="process_refinery_required_shares_of_process_and_commodity_max" localSheetId="7">INDIA!$B$73:$O$86</definedName>
    <definedName name="process_refinery_required_shares_of_process_and_commodity_max" localSheetId="8">LATAM!$B$73:$O$86</definedName>
    <definedName name="process_refinery_required_shares_of_process_and_commodity_max" localSheetId="11">LROW!$B$73:$O$86</definedName>
    <definedName name="process_refinery_required_shares_of_process_and_commodity_max" localSheetId="9">RUSSIA!$B$73:$O$86</definedName>
    <definedName name="process_refinery_required_shares_of_process_and_commodity_max" localSheetId="2">Template!$B$73:$O$86</definedName>
    <definedName name="process_refinery_required_shares_of_process_and_commodity_max" localSheetId="4">UK!$B$73:$O$86</definedName>
    <definedName name="process_refinery_required_shares_of_process_and_commodity_max" localSheetId="10">USMCA!$B$73:$O$86</definedName>
    <definedName name="Prop_electrical_distribution_losses" localSheetId="13">World!$C$305</definedName>
    <definedName name="Prop_heat_distribution_losses" localSheetId="13">World!$C$326</definedName>
    <definedName name="propor_gas_transp_losses" localSheetId="13">World!$C$306</definedName>
    <definedName name="PROTRA_LIFETIME" localSheetId="6">CHINA!$D$117:$D$158</definedName>
    <definedName name="PROTRA_LIFETIME" localSheetId="5">EASOC!$D$117:$D$158</definedName>
    <definedName name="PROTRA_LIFETIME" localSheetId="3">'EU27'!$D$117:$D$158</definedName>
    <definedName name="PROTRA_LIFETIME" localSheetId="7">INDIA!$D$117:$D$158</definedName>
    <definedName name="PROTRA_LIFETIME" localSheetId="8">LATAM!$D$117:$D$158</definedName>
    <definedName name="PROTRA_LIFETIME" localSheetId="11">LROW!$D$117:$D$158</definedName>
    <definedName name="PROTRA_LIFETIME" localSheetId="9">RUSSIA!$D$117:$D$158</definedName>
    <definedName name="PROTRA_LIFETIME" localSheetId="2">Template!$D$117:$D$158</definedName>
    <definedName name="PROTRA_LIFETIME" localSheetId="4">UK!$D$117:$D$158</definedName>
    <definedName name="PROTRA_LIFETIME" localSheetId="10">USMCA!$D$117:$D$158</definedName>
    <definedName name="PROTRA_lifetime">Common!$B$123:$K$164</definedName>
    <definedName name="PROTRA_technology_utilization_priorities" localSheetId="6">CHINA!#REF!</definedName>
    <definedName name="PROTRA_technology_utilization_priorities" localSheetId="5">EASOC!#REF!</definedName>
    <definedName name="PROTRA_technology_utilization_priorities" localSheetId="3">'EU27'!#REF!</definedName>
    <definedName name="PROTRA_technology_utilization_priorities" localSheetId="7">INDIA!#REF!</definedName>
    <definedName name="PROTRA_technology_utilization_priorities" localSheetId="8">LATAM!#REF!</definedName>
    <definedName name="PROTRA_technology_utilization_priorities" localSheetId="11">LROW!#REF!</definedName>
    <definedName name="PROTRA_technology_utilization_priorities" localSheetId="9">RUSSIA!#REF!</definedName>
    <definedName name="PROTRA_technology_utilization_priorities" localSheetId="4">UK!#REF!</definedName>
    <definedName name="PROTRA_technology_utilization_priorities" localSheetId="10">USMCA!#REF!</definedName>
    <definedName name="PROTRA_technology_utilization_priorities">Template!$B$222:$B$263</definedName>
    <definedName name="Pumped_hydro_storage__PHS" localSheetId="13">World!$G$301</definedName>
    <definedName name="RATIO_CAPACITY_STORAGE_P2H">Common!$D$62</definedName>
    <definedName name="Ratio_gain_gas_vs_lose_solids_in_tranf_processes" localSheetId="13">World!$D$86:$X$86</definedName>
    <definedName name="Renewables" localSheetId="13">World!$D$130:$W$130</definedName>
    <definedName name="Renewables_CHP_Elec" localSheetId="13">World!$D$124:$X$124</definedName>
    <definedName name="Renewables_CHP_Heat" localSheetId="13">World!$D$132:$X$132</definedName>
    <definedName name="Renewables_Heat" localSheetId="13">World!$D$130:$X$130</definedName>
    <definedName name="RES_to_fossil_accounting" localSheetId="13">World!$K$326</definedName>
    <definedName name="Round_trip_storage_efficiency_EV_batteries" localSheetId="13">World!$G$297</definedName>
    <definedName name="Round_trip_storage_efficiency_PHS" localSheetId="13">World!$G$302</definedName>
    <definedName name="RURR_uranium_EWG06">World!$C$252:$M$252</definedName>
    <definedName name="saving_bus_elec" localSheetId="13">World!$B$461</definedName>
    <definedName name="saving_bus_gas" localSheetId="13">World!$B$463</definedName>
    <definedName name="saving_bus_hyb" localSheetId="13">World!$B$462</definedName>
    <definedName name="saving_bus_liq" localSheetId="13">World!$B$460</definedName>
    <definedName name="saving_H_elec" localSheetId="13">World!$B$447</definedName>
    <definedName name="saving_H_gas" localSheetId="13">World!$B$449</definedName>
    <definedName name="saving_H_hyb" localSheetId="13">World!$B$448</definedName>
    <definedName name="saving_H_liq" localSheetId="13">World!$B$446</definedName>
    <definedName name="saving_H2w_elec" localSheetId="13">World!$B$451</definedName>
    <definedName name="saving_H2w_liq" localSheetId="13">World!$B$450</definedName>
    <definedName name="saving_HV_gas" localSheetId="13">World!$B$455</definedName>
    <definedName name="saving_HV_hyb" localSheetId="13">World!$B$454</definedName>
    <definedName name="saving_HV_liq" localSheetId="13">World!$B$453</definedName>
    <definedName name="saving_LV_elec" localSheetId="13">World!$B$457</definedName>
    <definedName name="saving_LV_gas" localSheetId="13">World!$B$459</definedName>
    <definedName name="saving_LV_hyb" localSheetId="13">World!$B$458</definedName>
    <definedName name="saving_LV_liq" localSheetId="13">World!$B$456</definedName>
    <definedName name="saving_ratios_V" localSheetId="13">World!$B$453:$B$465</definedName>
    <definedName name="saving_train_elec" localSheetId="13">World!$B$465</definedName>
    <definedName name="saving_train_liq" localSheetId="13">World!$B$464</definedName>
    <definedName name="scenario_switch_for_utilization_allocation_priorities_0" localSheetId="6">CHINA!#REF!</definedName>
    <definedName name="scenario_switch_for_utilization_allocation_priorities_0" localSheetId="5">EASOC!#REF!</definedName>
    <definedName name="scenario_switch_for_utilization_allocation_priorities_0" localSheetId="3">'EU27'!#REF!</definedName>
    <definedName name="scenario_switch_for_utilization_allocation_priorities_0" localSheetId="7">INDIA!#REF!</definedName>
    <definedName name="scenario_switch_for_utilization_allocation_priorities_0" localSheetId="8">LATAM!#REF!</definedName>
    <definedName name="scenario_switch_for_utilization_allocation_priorities_0" localSheetId="11">LROW!#REF!</definedName>
    <definedName name="scenario_switch_for_utilization_allocation_priorities_0" localSheetId="9">RUSSIA!#REF!</definedName>
    <definedName name="scenario_switch_for_utilization_allocation_priorities_0" localSheetId="2">Template!$B$217</definedName>
    <definedName name="scenario_switch_for_utilization_allocation_priorities_0" localSheetId="4">UK!#REF!</definedName>
    <definedName name="scenario_switch_for_utilization_allocation_priorities_0" localSheetId="10">USMCA!#REF!</definedName>
    <definedName name="sector_own_consumption_required_per_process" localSheetId="6">CHINA!$B$19:$B$23</definedName>
    <definedName name="sector_own_consumption_required_per_process" localSheetId="5">EASOC!$B$19:$B$23</definedName>
    <definedName name="sector_own_consumption_required_per_process" localSheetId="3">'EU27'!$B$19:$B$23</definedName>
    <definedName name="sector_own_consumption_required_per_process" localSheetId="7">INDIA!$B$19:$B$23</definedName>
    <definedName name="sector_own_consumption_required_per_process" localSheetId="8">LATAM!$B$19:$B$23</definedName>
    <definedName name="sector_own_consumption_required_per_process" localSheetId="11">LROW!$B$19:$B$23</definedName>
    <definedName name="sector_own_consumption_required_per_process" localSheetId="9">RUSSIA!$B$19:$B$23</definedName>
    <definedName name="sector_own_consumption_required_per_process" localSheetId="2">Template!$B$19:$B$23</definedName>
    <definedName name="sector_own_consumption_required_per_process" localSheetId="4">UK!$B$19:$B$23</definedName>
    <definedName name="sector_own_consumption_required_per_process" localSheetId="10">USMCA!$B$19:$B$23</definedName>
    <definedName name="SELECT_EROI_BOUNDARY">allocation_new_capacity_subtech!$C$3</definedName>
    <definedName name="SELECT_LOGIT_MODEL_EV_BATTERIES_SUBTECH_ALLOCATION">allocation_new_capacity_subtech!$C$2</definedName>
    <definedName name="SELECT_LOGIT_MODEL_PV_SUBTECH_ALLOCATION">allocation_new_capacity_subtech!$C$4</definedName>
    <definedName name="share_FEH_over_FED_coal" localSheetId="13">World!$C$319</definedName>
    <definedName name="share_FEH_over_FED_nat_gas" localSheetId="13">World!$C$318</definedName>
    <definedName name="share_FEH_over_FED_oil" localSheetId="13">World!$C$317</definedName>
    <definedName name="share_FEH_over_FED_solid_bioE" localSheetId="13">World!$C$320</definedName>
    <definedName name="share_gas_coal_gas_for_Elec_in_2014" localSheetId="13">World!$D$13</definedName>
    <definedName name="share_gas_coal_gas_for_Heat_in_2014" localSheetId="13">World!$D$47</definedName>
    <definedName name="Share_of_Heat_output_vs_electricity_in_nuclear" localSheetId="13">World!$G$311</definedName>
    <definedName name="share_oil_FF_for_Elec_in_2015" localSheetId="13">World!$D$15</definedName>
    <definedName name="share_oil_FF_for_Heat_in_2014" localSheetId="13">World!$D$14</definedName>
    <definedName name="share_PES_biogas_for_CHP_plants" localSheetId="13">World!$G$332</definedName>
    <definedName name="share_PES_biogas_for_elec_plants" localSheetId="13">World!$G$331</definedName>
    <definedName name="share_PES_biogas_for_heat_plants" localSheetId="13">World!$G$330</definedName>
    <definedName name="share_PES_biogas_TFC" localSheetId="13">World!$G$333</definedName>
    <definedName name="share_PES_waste_for_CHP_plants" localSheetId="13">World!$C$332</definedName>
    <definedName name="share_PES_waste_for_elec_plants" localSheetId="13">World!$C$331</definedName>
    <definedName name="share_PES_waste_for_heat_plants" localSheetId="13">World!$C$330</definedName>
    <definedName name="share_PES_waste_TFC" localSheetId="13">World!$C$333</definedName>
    <definedName name="SHARE_PV_BEFORE_2020">PV!$D$20:$L$23</definedName>
    <definedName name="SHARE_PV_BEFORE_2020_TIME">PV!$D$19:$L$19</definedName>
    <definedName name="share_trad_biomass_vs_solids_in_households" localSheetId="13">World!$G$287</definedName>
    <definedName name="Solar_CSP" localSheetId="13">World!$D$69:$X$69</definedName>
    <definedName name="Solar_PV" localSheetId="13">World!$D$67:$X$67</definedName>
    <definedName name="solar_PV_initial_power_density" localSheetId="13">World!$B$265</definedName>
    <definedName name="Solar_PV_past_capacity_growth" localSheetId="13">World!$D$146</definedName>
    <definedName name="Solid_bioE_elec" localSheetId="13">World!$D$142</definedName>
    <definedName name="solid_bioenergy_for_electricity" localSheetId="13">World!$D$59:$X$59</definedName>
    <definedName name="SOLIDS" localSheetId="13">World!$D$73:$X$73</definedName>
    <definedName name="storage_losses_required_per_process" localSheetId="6">CHINA!$B$13:$B$15</definedName>
    <definedName name="storage_losses_required_per_process" localSheetId="5">EASOC!$B$13:$B$15</definedName>
    <definedName name="storage_losses_required_per_process" localSheetId="3">'EU27'!$B$13:$B$15</definedName>
    <definedName name="storage_losses_required_per_process" localSheetId="7">INDIA!$B$13:$B$15</definedName>
    <definedName name="storage_losses_required_per_process" localSheetId="8">LATAM!$B$13:$B$15</definedName>
    <definedName name="storage_losses_required_per_process" localSheetId="11">LROW!$B$13:$B$15</definedName>
    <definedName name="storage_losses_required_per_process" localSheetId="9">RUSSIA!$B$13:$B$15</definedName>
    <definedName name="storage_losses_required_per_process" localSheetId="2">Template!$B$13:$B$15</definedName>
    <definedName name="storage_losses_required_per_process" localSheetId="4">UK!$B$13:$B$15</definedName>
    <definedName name="storage_losses_required_per_process" localSheetId="10">USMCA!$B$13:$B$15</definedName>
    <definedName name="SURFACE_PV_PANEL">PV!$D$27</definedName>
    <definedName name="SWITCH_SCARCITY_PS_ELEC_SUBSTIT" localSheetId="13">World!$O$298</definedName>
    <definedName name="SWITCH_SCARCITY_PS_HEAT_SUBSTIT" localSheetId="13">World!$O$297</definedName>
    <definedName name="T_hist_inland_vehicles" localSheetId="13">World!$H$363</definedName>
    <definedName name="threshold_abund" localSheetId="13">World!$C$357</definedName>
    <definedName name="threshold_remaining_potential_new_capacity" localSheetId="13">World!$C$358</definedName>
    <definedName name="time_construction_nuclear" localSheetId="13">World!$T$267</definedName>
    <definedName name="time_construction_RES_elec" localSheetId="13">World!$T$259:$T$266</definedName>
    <definedName name="time_index" localSheetId="13">World!$D$3:$X$3</definedName>
    <definedName name="TIME_INDEX_HISTORIC_PV_MODULES_EFFICIENCY">PV!$D$30:$T$30</definedName>
    <definedName name="time_planning_nuclear" localSheetId="13">World!$S$267</definedName>
    <definedName name="time_planning_RES_elec" localSheetId="13">World!$S$259:$S$266</definedName>
    <definedName name="time_RES_nuclear_index" localSheetId="13">World!$G$257:$R$257</definedName>
    <definedName name="TO_PROSUP_elec_2_heat" localSheetId="14">Common!$B$75:$H$75</definedName>
    <definedName name="Total_CO2_emissions_from_fossil_fuel_consumption_and_cement_production" localSheetId="13">World!$D$16:$X$16</definedName>
    <definedName name="Total_GHG_Emissions_Excluding_Land_Use_Change_and_Forestry" localSheetId="13">World!$D$17:$X$17</definedName>
    <definedName name="Total_GHG_Emissions_Including_Land_Use_Change_and_Forestry" localSheetId="13">World!$D$18:$X$18</definedName>
    <definedName name="train_elec" localSheetId="13">World!$B$465</definedName>
    <definedName name="train_liq" localSheetId="13">World!$B$464</definedName>
    <definedName name="transformation_input_required_shares_of_process_and_commodity" localSheetId="6">CHINA!$B$28:$O$69</definedName>
    <definedName name="transformation_input_required_shares_of_process_and_commodity" localSheetId="5">EASOC!$B$28:$O$69</definedName>
    <definedName name="transformation_input_required_shares_of_process_and_commodity" localSheetId="3">'EU27'!$B$28:$O$69</definedName>
    <definedName name="transformation_input_required_shares_of_process_and_commodity" localSheetId="7">INDIA!$B$28:$O$69</definedName>
    <definedName name="transformation_input_required_shares_of_process_and_commodity" localSheetId="8">LATAM!$B$28:$O$69</definedName>
    <definedName name="transformation_input_required_shares_of_process_and_commodity" localSheetId="11">LROW!$B$28:$O$69</definedName>
    <definedName name="transformation_input_required_shares_of_process_and_commodity" localSheetId="9">RUSSIA!$B$28:$O$69</definedName>
    <definedName name="transformation_input_required_shares_of_process_and_commodity" localSheetId="2">Template!$B$28:$O$69</definedName>
    <definedName name="transformation_input_required_shares_of_process_and_commodity" localSheetId="4">UK!$B$28:$O$69</definedName>
    <definedName name="transformation_input_required_shares_of_process_and_commodity" localSheetId="10">USMCA!$B$28:$O$69</definedName>
    <definedName name="transmission_losses_required_shares" localSheetId="6">CHINA!$B$7:$B$9</definedName>
    <definedName name="transmission_losses_required_shares" localSheetId="5">EASOC!$B$7:$B$9</definedName>
    <definedName name="transmission_losses_required_shares" localSheetId="3">'EU27'!$B$7:$B$9</definedName>
    <definedName name="transmission_losses_required_shares" localSheetId="7">INDIA!$B$7:$B$9</definedName>
    <definedName name="transmission_losses_required_shares" localSheetId="8">LATAM!$B$7:$B$9</definedName>
    <definedName name="transmission_losses_required_shares" localSheetId="11">LROW!$B$7:$B$9</definedName>
    <definedName name="transmission_losses_required_shares" localSheetId="9">RUSSIA!$B$7:$B$9</definedName>
    <definedName name="transmission_losses_required_shares" localSheetId="2">Template!$B$7:$B$9</definedName>
    <definedName name="transmission_losses_required_shares" localSheetId="4">UK!$B$7:$B$9</definedName>
    <definedName name="transmission_losses_required_shares" localSheetId="10">USMCA!$B$7:$B$9</definedName>
    <definedName name="unconventional_gas" localSheetId="13">World!$G$318</definedName>
    <definedName name="unconventional_oil" localSheetId="13">World!$G$316</definedName>
    <definedName name="Unlimited_factor_energy_availability" localSheetId="13">World!$C$164</definedName>
    <definedName name="Unlimited_URR_NRE" localSheetId="13">World!$C$163</definedName>
    <definedName name="uranium" localSheetId="13">World!$G$320</definedName>
    <definedName name="urban_surface_2008" localSheetId="13">World!$C$323</definedName>
    <definedName name="URR_EWG06">World!$C$251</definedName>
    <definedName name="Waste" localSheetId="13">World!$D$88:$X$88</definedName>
    <definedName name="Wattios_per_battery_EV" localSheetId="13">World!$G$300</definedName>
    <definedName name="weitgh_of_4w_in_demand_of_Sale_Maintenan." localSheetId="13">World!$K$313</definedName>
    <definedName name="weitgh_of_4w_in_demand_of_Transport_Equip." localSheetId="13">World!$K$312</definedName>
    <definedName name="wind_offshore_initial_power_density" localSheetId="13">World!$B$264</definedName>
    <definedName name="Wind_offshore_past_capacity_growth" localSheetId="13">World!$D$145</definedName>
    <definedName name="Wind_onshore" localSheetId="13">World!$D$63:$X$63</definedName>
    <definedName name="wind_onshore_initial_power_density" localSheetId="13">World!$B$263</definedName>
    <definedName name="Wind_onshore_past_capacity_growth" localSheetId="13">World!$D$144</definedName>
    <definedName name="Working_hours_per_day" localSheetId="13">World!$G$291</definedName>
    <definedName name="Year_of_calibration_HOUSEHOLDS_vehicles" localSheetId="13">World!$H$363</definedName>
    <definedName name="Zittel12_uranium" localSheetId="13">World!$C$245</definedName>
    <definedName name="Zittel12_uranium_extraction" localSheetId="13">World!$C$247:$P$247</definedName>
    <definedName name="Zittel12_uranium_remaining" localSheetId="13">World!$C$246:$P$246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138" l="1"/>
  <c r="C20" i="138"/>
  <c r="D20" i="138"/>
  <c r="E20" i="138"/>
  <c r="F20" i="138"/>
  <c r="B21" i="138"/>
  <c r="C21" i="138"/>
  <c r="D21" i="138"/>
  <c r="E21" i="138"/>
  <c r="F21" i="138"/>
  <c r="B22" i="138"/>
  <c r="C22" i="138"/>
  <c r="D22" i="138"/>
  <c r="E22" i="138"/>
  <c r="F22" i="138"/>
  <c r="B23" i="138"/>
  <c r="C23" i="138"/>
  <c r="D23" i="138"/>
  <c r="E23" i="138"/>
  <c r="F23" i="138"/>
  <c r="B24" i="138"/>
  <c r="C24" i="138"/>
  <c r="D24" i="138"/>
  <c r="E24" i="138"/>
  <c r="F24" i="138"/>
  <c r="B25" i="138"/>
  <c r="C25" i="138"/>
  <c r="D25" i="138"/>
  <c r="E25" i="138"/>
  <c r="F25" i="138"/>
  <c r="B26" i="138"/>
  <c r="C26" i="138"/>
  <c r="D26" i="138"/>
  <c r="E26" i="138"/>
  <c r="F26" i="138"/>
  <c r="B27" i="138"/>
  <c r="C27" i="138"/>
  <c r="D27" i="138"/>
  <c r="E27" i="138"/>
  <c r="F27" i="138"/>
  <c r="B28" i="138"/>
  <c r="C28" i="138"/>
  <c r="D28" i="138"/>
  <c r="E28" i="138"/>
  <c r="F28" i="138"/>
  <c r="B29" i="138"/>
  <c r="C29" i="138"/>
  <c r="D29" i="138"/>
  <c r="E29" i="138"/>
  <c r="F29" i="138"/>
  <c r="B30" i="138"/>
  <c r="C30" i="138"/>
  <c r="D30" i="138"/>
  <c r="E30" i="138"/>
  <c r="F30" i="138"/>
  <c r="B31" i="138"/>
  <c r="C31" i="138"/>
  <c r="D31" i="138"/>
  <c r="E31" i="138"/>
  <c r="F31" i="138"/>
  <c r="B32" i="138"/>
  <c r="C32" i="138"/>
  <c r="D32" i="138"/>
  <c r="E32" i="138"/>
  <c r="F32" i="138"/>
  <c r="B33" i="138"/>
  <c r="C33" i="138"/>
  <c r="D33" i="138"/>
  <c r="E33" i="138"/>
  <c r="F33" i="138"/>
  <c r="B34" i="138"/>
  <c r="C34" i="138"/>
  <c r="D34" i="138"/>
  <c r="E34" i="138"/>
  <c r="F34" i="138"/>
  <c r="B35" i="138"/>
  <c r="C35" i="138"/>
  <c r="D35" i="138"/>
  <c r="E35" i="138"/>
  <c r="F35" i="138"/>
  <c r="B36" i="138"/>
  <c r="C36" i="138"/>
  <c r="D36" i="138"/>
  <c r="E36" i="138"/>
  <c r="F36" i="138"/>
  <c r="B37" i="138"/>
  <c r="C37" i="138"/>
  <c r="D37" i="138"/>
  <c r="E37" i="138"/>
  <c r="F37" i="138"/>
  <c r="B38" i="138"/>
  <c r="C38" i="138"/>
  <c r="D38" i="138"/>
  <c r="E38" i="138"/>
  <c r="F38" i="138"/>
  <c r="B39" i="138"/>
  <c r="C39" i="138"/>
  <c r="D39" i="138"/>
  <c r="E39" i="138"/>
  <c r="F39" i="138"/>
  <c r="B40" i="138"/>
  <c r="C40" i="138"/>
  <c r="D40" i="138"/>
  <c r="E40" i="138"/>
  <c r="F40" i="138"/>
  <c r="B41" i="138"/>
  <c r="C41" i="138"/>
  <c r="D41" i="138"/>
  <c r="E41" i="138"/>
  <c r="F41" i="138"/>
  <c r="B42" i="138"/>
  <c r="C42" i="138"/>
  <c r="D42" i="138"/>
  <c r="E42" i="138"/>
  <c r="F42" i="138"/>
  <c r="B43" i="138"/>
  <c r="C43" i="138"/>
  <c r="D43" i="138"/>
  <c r="E43" i="138"/>
  <c r="F43" i="138"/>
  <c r="B44" i="138"/>
  <c r="C44" i="138"/>
  <c r="D44" i="138"/>
  <c r="E44" i="138"/>
  <c r="F44" i="138"/>
  <c r="B45" i="138"/>
  <c r="C45" i="138"/>
  <c r="D45" i="138"/>
  <c r="E45" i="138"/>
  <c r="F45" i="138"/>
  <c r="B46" i="138"/>
  <c r="C46" i="138"/>
  <c r="D46" i="138"/>
  <c r="E46" i="138"/>
  <c r="F46" i="138"/>
  <c r="B47" i="138"/>
  <c r="C47" i="138"/>
  <c r="D47" i="138"/>
  <c r="E47" i="138"/>
  <c r="F47" i="138"/>
  <c r="B64" i="138" l="1"/>
  <c r="B65" i="138"/>
  <c r="B66" i="138"/>
  <c r="B67" i="138"/>
  <c r="B68" i="138"/>
  <c r="B69" i="138"/>
  <c r="B70" i="138"/>
  <c r="B71" i="138"/>
  <c r="B63" i="138"/>
  <c r="B138" i="131"/>
  <c r="C88" i="138" l="1"/>
  <c r="B88" i="138"/>
  <c r="C87" i="138"/>
  <c r="B87" i="138"/>
  <c r="C86" i="138"/>
  <c r="B86" i="138"/>
  <c r="C85" i="138"/>
  <c r="B85" i="138"/>
  <c r="C84" i="138"/>
  <c r="B84" i="138"/>
  <c r="C83" i="138"/>
  <c r="B83" i="138"/>
  <c r="B82" i="138"/>
  <c r="C81" i="138"/>
  <c r="B81" i="138"/>
  <c r="C80" i="138"/>
  <c r="B80" i="138"/>
  <c r="B152" i="129" l="1"/>
  <c r="B153" i="129"/>
  <c r="B145" i="129"/>
  <c r="B146" i="129"/>
  <c r="B147" i="129"/>
  <c r="B139" i="129"/>
  <c r="B140" i="129"/>
  <c r="B152" i="132"/>
  <c r="B153" i="132"/>
  <c r="B145" i="132"/>
  <c r="B146" i="132"/>
  <c r="B147" i="132"/>
  <c r="B139" i="132"/>
  <c r="B140" i="132"/>
  <c r="B152" i="130"/>
  <c r="B153" i="130"/>
  <c r="B145" i="130"/>
  <c r="B146" i="130"/>
  <c r="B147" i="130"/>
  <c r="B139" i="130"/>
  <c r="B140" i="130"/>
  <c r="B152" i="128"/>
  <c r="B153" i="128"/>
  <c r="B145" i="128"/>
  <c r="B146" i="128"/>
  <c r="B147" i="128"/>
  <c r="B139" i="128"/>
  <c r="B140" i="128"/>
  <c r="B152" i="127"/>
  <c r="B153" i="127"/>
  <c r="B145" i="127"/>
  <c r="B146" i="127"/>
  <c r="B147" i="127"/>
  <c r="B139" i="127"/>
  <c r="B140" i="127"/>
  <c r="B152" i="125"/>
  <c r="B153" i="125"/>
  <c r="B145" i="125"/>
  <c r="B146" i="125"/>
  <c r="B147" i="125"/>
  <c r="B139" i="125"/>
  <c r="B140" i="125"/>
  <c r="B152" i="124"/>
  <c r="B153" i="124"/>
  <c r="B145" i="124"/>
  <c r="B146" i="124"/>
  <c r="B147" i="124"/>
  <c r="B139" i="124"/>
  <c r="B140" i="124"/>
  <c r="B152" i="126"/>
  <c r="B153" i="126"/>
  <c r="B145" i="126"/>
  <c r="B146" i="126"/>
  <c r="B147" i="126"/>
  <c r="B139" i="126"/>
  <c r="B140" i="126"/>
  <c r="C38" i="132" l="1"/>
  <c r="B38" i="132"/>
  <c r="P69" i="125" l="1"/>
  <c r="P68" i="125"/>
  <c r="P67" i="125"/>
  <c r="P66" i="125"/>
  <c r="P65" i="125"/>
  <c r="P64" i="125"/>
  <c r="P63" i="125"/>
  <c r="P62" i="125"/>
  <c r="P61" i="125"/>
  <c r="P60" i="125"/>
  <c r="P59" i="125"/>
  <c r="P58" i="125"/>
  <c r="P57" i="125"/>
  <c r="P56" i="125"/>
  <c r="P55" i="125"/>
  <c r="P54" i="125"/>
  <c r="P53" i="125"/>
  <c r="P52" i="125"/>
  <c r="P51" i="125"/>
  <c r="P50" i="125"/>
  <c r="P49" i="125"/>
  <c r="P48" i="125"/>
  <c r="P47" i="125"/>
  <c r="P46" i="125"/>
  <c r="P45" i="125"/>
  <c r="P44" i="125"/>
  <c r="P43" i="125"/>
  <c r="P42" i="125"/>
  <c r="P41" i="125"/>
  <c r="P40" i="125"/>
  <c r="P39" i="125"/>
  <c r="P38" i="125"/>
  <c r="P37" i="125"/>
  <c r="P36" i="125"/>
  <c r="P35" i="125"/>
  <c r="P34" i="125"/>
  <c r="P33" i="125"/>
  <c r="P32" i="125"/>
  <c r="P31" i="125"/>
  <c r="P30" i="125"/>
  <c r="P29" i="125"/>
  <c r="P28" i="125"/>
  <c r="P69" i="126"/>
  <c r="P68" i="126"/>
  <c r="P67" i="126"/>
  <c r="P66" i="126"/>
  <c r="P65" i="126"/>
  <c r="P64" i="126"/>
  <c r="P63" i="126"/>
  <c r="P62" i="126"/>
  <c r="P61" i="126"/>
  <c r="P60" i="126"/>
  <c r="P59" i="126"/>
  <c r="P58" i="126"/>
  <c r="P57" i="126"/>
  <c r="P56" i="126"/>
  <c r="P55" i="126"/>
  <c r="P54" i="126"/>
  <c r="P53" i="126"/>
  <c r="P52" i="126"/>
  <c r="P51" i="126"/>
  <c r="P50" i="126"/>
  <c r="P49" i="126"/>
  <c r="P48" i="126"/>
  <c r="P47" i="126"/>
  <c r="P46" i="126"/>
  <c r="P45" i="126"/>
  <c r="P44" i="126"/>
  <c r="P43" i="126"/>
  <c r="P42" i="126"/>
  <c r="P41" i="126"/>
  <c r="P40" i="126"/>
  <c r="P39" i="126"/>
  <c r="P38" i="126"/>
  <c r="P37" i="126"/>
  <c r="P36" i="126"/>
  <c r="P35" i="126"/>
  <c r="P34" i="126"/>
  <c r="P33" i="126"/>
  <c r="P32" i="126"/>
  <c r="P31" i="126"/>
  <c r="P30" i="126"/>
  <c r="P29" i="126"/>
  <c r="P28" i="126"/>
  <c r="P69" i="127"/>
  <c r="P68" i="127"/>
  <c r="P67" i="127"/>
  <c r="P66" i="127"/>
  <c r="P65" i="127"/>
  <c r="P64" i="127"/>
  <c r="P63" i="127"/>
  <c r="P62" i="127"/>
  <c r="P61" i="127"/>
  <c r="P60" i="127"/>
  <c r="P59" i="127"/>
  <c r="P58" i="127"/>
  <c r="P57" i="127"/>
  <c r="P56" i="127"/>
  <c r="P55" i="127"/>
  <c r="P54" i="127"/>
  <c r="P53" i="127"/>
  <c r="P52" i="127"/>
  <c r="P51" i="127"/>
  <c r="P50" i="127"/>
  <c r="P49" i="127"/>
  <c r="P48" i="127"/>
  <c r="P47" i="127"/>
  <c r="P46" i="127"/>
  <c r="P45" i="127"/>
  <c r="P44" i="127"/>
  <c r="P43" i="127"/>
  <c r="P42" i="127"/>
  <c r="P41" i="127"/>
  <c r="P40" i="127"/>
  <c r="P39" i="127"/>
  <c r="P38" i="127"/>
  <c r="P37" i="127"/>
  <c r="P36" i="127"/>
  <c r="P35" i="127"/>
  <c r="P34" i="127"/>
  <c r="P33" i="127"/>
  <c r="P32" i="127"/>
  <c r="P31" i="127"/>
  <c r="P30" i="127"/>
  <c r="P29" i="127"/>
  <c r="P28" i="127"/>
  <c r="P69" i="128"/>
  <c r="P68" i="128"/>
  <c r="P67" i="128"/>
  <c r="P66" i="128"/>
  <c r="P65" i="128"/>
  <c r="P64" i="128"/>
  <c r="P63" i="128"/>
  <c r="P62" i="128"/>
  <c r="P61" i="128"/>
  <c r="P60" i="128"/>
  <c r="P59" i="128"/>
  <c r="P58" i="128"/>
  <c r="P57" i="128"/>
  <c r="P56" i="128"/>
  <c r="P55" i="128"/>
  <c r="P54" i="128"/>
  <c r="P53" i="128"/>
  <c r="P52" i="128"/>
  <c r="P51" i="128"/>
  <c r="P50" i="128"/>
  <c r="P49" i="128"/>
  <c r="P48" i="128"/>
  <c r="P47" i="128"/>
  <c r="P46" i="128"/>
  <c r="P45" i="128"/>
  <c r="P44" i="128"/>
  <c r="P43" i="128"/>
  <c r="P42" i="128"/>
  <c r="P41" i="128"/>
  <c r="P40" i="128"/>
  <c r="P39" i="128"/>
  <c r="P38" i="128"/>
  <c r="P37" i="128"/>
  <c r="P36" i="128"/>
  <c r="P35" i="128"/>
  <c r="P34" i="128"/>
  <c r="P33" i="128"/>
  <c r="P32" i="128"/>
  <c r="P31" i="128"/>
  <c r="P30" i="128"/>
  <c r="P29" i="128"/>
  <c r="P28" i="128"/>
  <c r="P69" i="129"/>
  <c r="P68" i="129"/>
  <c r="P67" i="129"/>
  <c r="P66" i="129"/>
  <c r="P65" i="129"/>
  <c r="P64" i="129"/>
  <c r="P63" i="129"/>
  <c r="P62" i="129"/>
  <c r="P61" i="129"/>
  <c r="P60" i="129"/>
  <c r="P59" i="129"/>
  <c r="P58" i="129"/>
  <c r="P57" i="129"/>
  <c r="P56" i="129"/>
  <c r="P55" i="129"/>
  <c r="P54" i="129"/>
  <c r="P53" i="129"/>
  <c r="P52" i="129"/>
  <c r="P51" i="129"/>
  <c r="P50" i="129"/>
  <c r="P49" i="129"/>
  <c r="P48" i="129"/>
  <c r="P47" i="129"/>
  <c r="P46" i="129"/>
  <c r="P45" i="129"/>
  <c r="P44" i="129"/>
  <c r="P43" i="129"/>
  <c r="P42" i="129"/>
  <c r="P41" i="129"/>
  <c r="P40" i="129"/>
  <c r="P39" i="129"/>
  <c r="P38" i="129"/>
  <c r="P37" i="129"/>
  <c r="P36" i="129"/>
  <c r="P35" i="129"/>
  <c r="P34" i="129"/>
  <c r="P33" i="129"/>
  <c r="P32" i="129"/>
  <c r="P31" i="129"/>
  <c r="P30" i="129"/>
  <c r="P29" i="129"/>
  <c r="P28" i="129"/>
  <c r="P69" i="130"/>
  <c r="P68" i="130"/>
  <c r="P67" i="130"/>
  <c r="P66" i="130"/>
  <c r="P65" i="130"/>
  <c r="P64" i="130"/>
  <c r="P63" i="130"/>
  <c r="P62" i="130"/>
  <c r="P61" i="130"/>
  <c r="P60" i="130"/>
  <c r="P59" i="130"/>
  <c r="P58" i="130"/>
  <c r="P57" i="130"/>
  <c r="P56" i="130"/>
  <c r="P55" i="130"/>
  <c r="P54" i="130"/>
  <c r="P53" i="130"/>
  <c r="P52" i="130"/>
  <c r="P51" i="130"/>
  <c r="P50" i="130"/>
  <c r="P49" i="130"/>
  <c r="P48" i="130"/>
  <c r="P47" i="130"/>
  <c r="P46" i="130"/>
  <c r="P45" i="130"/>
  <c r="P44" i="130"/>
  <c r="P43" i="130"/>
  <c r="P42" i="130"/>
  <c r="P41" i="130"/>
  <c r="P40" i="130"/>
  <c r="P39" i="130"/>
  <c r="P38" i="130"/>
  <c r="P37" i="130"/>
  <c r="P36" i="130"/>
  <c r="P35" i="130"/>
  <c r="P34" i="130"/>
  <c r="P33" i="130"/>
  <c r="P32" i="130"/>
  <c r="P31" i="130"/>
  <c r="P30" i="130"/>
  <c r="P29" i="130"/>
  <c r="P28" i="130"/>
  <c r="P69" i="132"/>
  <c r="P68" i="132"/>
  <c r="P67" i="132"/>
  <c r="P66" i="132"/>
  <c r="P65" i="132"/>
  <c r="P64" i="132"/>
  <c r="P63" i="132"/>
  <c r="P62" i="132"/>
  <c r="P61" i="132"/>
  <c r="P60" i="132"/>
  <c r="P59" i="132"/>
  <c r="P58" i="132"/>
  <c r="P57" i="132"/>
  <c r="P56" i="132"/>
  <c r="P55" i="132"/>
  <c r="P54" i="132"/>
  <c r="P53" i="132"/>
  <c r="P52" i="132"/>
  <c r="P51" i="132"/>
  <c r="P50" i="132"/>
  <c r="P49" i="132"/>
  <c r="P48" i="132"/>
  <c r="P47" i="132"/>
  <c r="P46" i="132"/>
  <c r="P45" i="132"/>
  <c r="P44" i="132"/>
  <c r="P43" i="132"/>
  <c r="P42" i="132"/>
  <c r="P41" i="132"/>
  <c r="P40" i="132"/>
  <c r="P39" i="132"/>
  <c r="P38" i="132"/>
  <c r="P37" i="132"/>
  <c r="P36" i="132"/>
  <c r="P35" i="132"/>
  <c r="P34" i="132"/>
  <c r="P33" i="132"/>
  <c r="P32" i="132"/>
  <c r="P31" i="132"/>
  <c r="P30" i="132"/>
  <c r="P29" i="132"/>
  <c r="P28" i="132"/>
  <c r="P69" i="131"/>
  <c r="P68" i="131"/>
  <c r="P67" i="131"/>
  <c r="P66" i="131"/>
  <c r="P65" i="131"/>
  <c r="P64" i="131"/>
  <c r="P63" i="131"/>
  <c r="P62" i="131"/>
  <c r="P61" i="131"/>
  <c r="P60" i="131"/>
  <c r="P59" i="131"/>
  <c r="P58" i="131"/>
  <c r="P57" i="131"/>
  <c r="P56" i="131"/>
  <c r="P55" i="131"/>
  <c r="P54" i="131"/>
  <c r="P53" i="131"/>
  <c r="P52" i="131"/>
  <c r="P51" i="131"/>
  <c r="P50" i="131"/>
  <c r="P49" i="131"/>
  <c r="P48" i="131"/>
  <c r="P47" i="131"/>
  <c r="P46" i="131"/>
  <c r="P45" i="131"/>
  <c r="P44" i="131"/>
  <c r="P43" i="131"/>
  <c r="P42" i="131"/>
  <c r="P41" i="131"/>
  <c r="P40" i="131"/>
  <c r="P39" i="131"/>
  <c r="P38" i="131"/>
  <c r="P37" i="131"/>
  <c r="P36" i="131"/>
  <c r="P35" i="131"/>
  <c r="P34" i="131"/>
  <c r="P33" i="131"/>
  <c r="P32" i="131"/>
  <c r="P31" i="131"/>
  <c r="P30" i="131"/>
  <c r="P29" i="131"/>
  <c r="P28" i="131"/>
  <c r="P69" i="124"/>
  <c r="P68" i="124"/>
  <c r="P67" i="124"/>
  <c r="P66" i="124"/>
  <c r="P65" i="124"/>
  <c r="P64" i="124"/>
  <c r="P63" i="124"/>
  <c r="P62" i="124"/>
  <c r="P61" i="124"/>
  <c r="P60" i="124"/>
  <c r="P59" i="124"/>
  <c r="P58" i="124"/>
  <c r="P57" i="124"/>
  <c r="P56" i="124"/>
  <c r="P55" i="124"/>
  <c r="P54" i="124"/>
  <c r="P53" i="124"/>
  <c r="P52" i="124"/>
  <c r="P51" i="124"/>
  <c r="P50" i="124"/>
  <c r="P49" i="124"/>
  <c r="P48" i="124"/>
  <c r="P47" i="124"/>
  <c r="P46" i="124"/>
  <c r="P45" i="124"/>
  <c r="P44" i="124"/>
  <c r="P43" i="124"/>
  <c r="P42" i="124"/>
  <c r="P41" i="124"/>
  <c r="P40" i="124"/>
  <c r="P39" i="124"/>
  <c r="P38" i="124"/>
  <c r="P37" i="124"/>
  <c r="P36" i="124"/>
  <c r="P35" i="124"/>
  <c r="P34" i="124"/>
  <c r="P33" i="124"/>
  <c r="P32" i="124"/>
  <c r="P31" i="124"/>
  <c r="P30" i="124"/>
  <c r="P29" i="124"/>
  <c r="P28" i="124"/>
  <c r="P29" i="23"/>
  <c r="P30" i="23"/>
  <c r="P31" i="23"/>
  <c r="P32" i="23"/>
  <c r="P33" i="23"/>
  <c r="P34" i="23"/>
  <c r="P35" i="23"/>
  <c r="P36" i="23"/>
  <c r="P37" i="23"/>
  <c r="P38" i="23"/>
  <c r="P39" i="23"/>
  <c r="P40" i="23"/>
  <c r="P41" i="23"/>
  <c r="P42" i="23"/>
  <c r="P43" i="23"/>
  <c r="P44" i="23"/>
  <c r="P45" i="23"/>
  <c r="P46" i="23"/>
  <c r="P47" i="23"/>
  <c r="P48" i="23"/>
  <c r="P49" i="23"/>
  <c r="P50" i="23"/>
  <c r="P51" i="23"/>
  <c r="P52" i="23"/>
  <c r="P53" i="23"/>
  <c r="P54" i="23"/>
  <c r="P55" i="23"/>
  <c r="P56" i="23"/>
  <c r="P57" i="23"/>
  <c r="P58" i="23"/>
  <c r="P59" i="23"/>
  <c r="P60" i="23"/>
  <c r="P61" i="23"/>
  <c r="P62" i="23"/>
  <c r="P63" i="23"/>
  <c r="P64" i="23"/>
  <c r="P65" i="23"/>
  <c r="P66" i="23"/>
  <c r="P67" i="23"/>
  <c r="P68" i="23"/>
  <c r="P69" i="23"/>
  <c r="P28" i="23"/>
  <c r="B151" i="23" l="1"/>
  <c r="B150" i="23"/>
  <c r="B149" i="23"/>
  <c r="B148" i="23"/>
  <c r="B143" i="23"/>
  <c r="B142" i="23"/>
  <c r="B141" i="23"/>
  <c r="B138" i="23"/>
  <c r="B137" i="23"/>
  <c r="B136" i="23"/>
  <c r="B135" i="23"/>
  <c r="B134" i="23"/>
  <c r="B126" i="23"/>
  <c r="B125" i="23"/>
  <c r="B124" i="23"/>
  <c r="B123" i="23"/>
  <c r="B122" i="23"/>
  <c r="B121" i="23"/>
  <c r="B120" i="23"/>
  <c r="B119" i="23"/>
  <c r="B118" i="23"/>
  <c r="B117" i="23"/>
  <c r="C153" i="23" l="1"/>
  <c r="C152" i="23"/>
  <c r="C151" i="23"/>
  <c r="C150" i="23"/>
  <c r="C149" i="23"/>
  <c r="C148" i="23"/>
  <c r="C147" i="23"/>
  <c r="C146" i="23"/>
  <c r="C145" i="23"/>
  <c r="C144" i="23"/>
  <c r="C143" i="23"/>
  <c r="C142" i="23"/>
  <c r="C141" i="23"/>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G74" i="132" l="1"/>
  <c r="D74" i="132"/>
  <c r="C74" i="132"/>
  <c r="G74" i="130"/>
  <c r="D74" i="130"/>
  <c r="C74" i="130"/>
  <c r="G74" i="126"/>
  <c r="D74" i="126"/>
  <c r="C74" i="126"/>
  <c r="G74" i="129"/>
  <c r="D74" i="129"/>
  <c r="C74" i="129"/>
  <c r="G74" i="128"/>
  <c r="D74" i="128"/>
  <c r="C74" i="128"/>
  <c r="G74" i="127"/>
  <c r="D74" i="127"/>
  <c r="C74" i="127"/>
  <c r="G74" i="125"/>
  <c r="D74" i="125"/>
  <c r="C74" i="125"/>
  <c r="G74" i="124"/>
  <c r="D74" i="124"/>
  <c r="C74" i="124"/>
  <c r="G74" i="131"/>
  <c r="D74" i="131"/>
  <c r="C74" i="131"/>
  <c r="B91" i="129" l="1"/>
  <c r="B92" i="129"/>
  <c r="B91" i="132"/>
  <c r="B92" i="132"/>
  <c r="B91" i="130"/>
  <c r="B92" i="130"/>
  <c r="B91" i="128"/>
  <c r="B92" i="128"/>
  <c r="B91" i="127"/>
  <c r="B92" i="127"/>
  <c r="B91" i="125"/>
  <c r="B92" i="125"/>
  <c r="B91" i="124"/>
  <c r="B92" i="124"/>
  <c r="B91" i="131"/>
  <c r="B92" i="131"/>
  <c r="B91" i="126"/>
  <c r="B92" i="126"/>
  <c r="G309" i="134" l="1"/>
  <c r="O301" i="134"/>
  <c r="O300" i="134"/>
  <c r="G293" i="134"/>
  <c r="C293" i="134"/>
  <c r="C270" i="134"/>
  <c r="C224" i="134"/>
  <c r="X132" i="134"/>
  <c r="X131" i="134"/>
  <c r="X130" i="134"/>
  <c r="X129" i="134"/>
  <c r="X128" i="134"/>
  <c r="X127" i="134"/>
  <c r="X126" i="134"/>
  <c r="X124" i="134"/>
  <c r="X123" i="134"/>
  <c r="X122" i="134"/>
  <c r="X121" i="134"/>
  <c r="X120" i="134"/>
  <c r="X119" i="134"/>
  <c r="X118" i="134"/>
  <c r="X113" i="134"/>
  <c r="X112" i="134"/>
  <c r="X111" i="134"/>
  <c r="X110" i="134"/>
  <c r="X109" i="134"/>
  <c r="X108" i="134"/>
  <c r="X107" i="134"/>
  <c r="X106" i="134"/>
  <c r="X105" i="134"/>
  <c r="X101" i="134"/>
  <c r="X100" i="134"/>
  <c r="X99" i="134"/>
  <c r="X98" i="134"/>
  <c r="X97" i="134"/>
  <c r="X96" i="134"/>
  <c r="X95" i="134"/>
  <c r="X94" i="134"/>
  <c r="X93" i="134"/>
  <c r="X92" i="134"/>
  <c r="X91" i="134"/>
  <c r="X87" i="134"/>
  <c r="R79" i="134"/>
  <c r="Q79" i="134"/>
  <c r="P79" i="134"/>
  <c r="O79" i="134"/>
  <c r="N79" i="134"/>
  <c r="M79" i="134"/>
  <c r="L79" i="134"/>
  <c r="K79" i="134"/>
  <c r="J79" i="134"/>
  <c r="I79" i="134"/>
  <c r="H79" i="134"/>
  <c r="G79" i="134"/>
  <c r="F79" i="134"/>
  <c r="E79" i="134"/>
  <c r="D79" i="134"/>
  <c r="O49" i="134"/>
  <c r="P49" i="134" s="1"/>
  <c r="Q49" i="134" s="1"/>
  <c r="R49" i="134" s="1"/>
  <c r="S49" i="134" s="1"/>
  <c r="T49" i="134" s="1"/>
  <c r="U49" i="134" s="1"/>
  <c r="V49" i="134" s="1"/>
  <c r="W49" i="134" s="1"/>
  <c r="X49" i="134" s="1"/>
  <c r="M49" i="134"/>
  <c r="L49" i="134" s="1"/>
  <c r="K49" i="134" s="1"/>
  <c r="J49" i="134" s="1"/>
  <c r="I49" i="134" s="1"/>
  <c r="H49" i="134" s="1"/>
  <c r="G49" i="134" s="1"/>
  <c r="F49" i="134" s="1"/>
  <c r="E49" i="134" s="1"/>
  <c r="D49" i="134" s="1"/>
  <c r="D27" i="134"/>
  <c r="V18" i="134"/>
  <c r="W18" i="134" s="1"/>
  <c r="X18" i="134" s="1"/>
  <c r="V17" i="134"/>
  <c r="W17" i="134" s="1"/>
  <c r="X17" i="134" s="1"/>
  <c r="Y12" i="134"/>
  <c r="C154" i="132" l="1"/>
  <c r="C155" i="132"/>
  <c r="C156" i="132"/>
  <c r="C157" i="132"/>
  <c r="C158" i="132"/>
  <c r="C117" i="132"/>
  <c r="C117" i="129" l="1"/>
  <c r="C154" i="129"/>
  <c r="C155" i="129"/>
  <c r="C156" i="129"/>
  <c r="C157" i="129"/>
  <c r="C158" i="129"/>
  <c r="C126" i="131" l="1"/>
  <c r="C154" i="131"/>
  <c r="C155" i="131"/>
  <c r="C156" i="131"/>
  <c r="C157" i="131"/>
  <c r="C158" i="131"/>
  <c r="C117" i="130"/>
  <c r="C154" i="130"/>
  <c r="C155" i="130"/>
  <c r="C156" i="130"/>
  <c r="C157" i="130"/>
  <c r="C158" i="130"/>
  <c r="C117" i="128"/>
  <c r="C154" i="128"/>
  <c r="C155" i="128"/>
  <c r="C156" i="128"/>
  <c r="C157" i="128"/>
  <c r="C158" i="128"/>
  <c r="C117" i="127"/>
  <c r="C154" i="127"/>
  <c r="C155" i="127"/>
  <c r="C156" i="127"/>
  <c r="C157" i="127"/>
  <c r="C158" i="127"/>
  <c r="C117" i="125"/>
  <c r="C154" i="125"/>
  <c r="C155" i="125"/>
  <c r="C156" i="125"/>
  <c r="C157" i="125"/>
  <c r="C158" i="125"/>
  <c r="C117" i="124"/>
  <c r="C154" i="124"/>
  <c r="C155" i="124"/>
  <c r="C156" i="124"/>
  <c r="C157" i="124"/>
  <c r="C158" i="124"/>
  <c r="C119" i="126" l="1"/>
  <c r="C120" i="126"/>
  <c r="C122" i="126"/>
  <c r="C124" i="126"/>
  <c r="C126" i="126"/>
  <c r="C136" i="126"/>
  <c r="C138" i="126"/>
  <c r="C139" i="126"/>
  <c r="C140" i="126"/>
  <c r="C141" i="126"/>
  <c r="C143" i="126"/>
  <c r="C144" i="126"/>
  <c r="C145" i="126"/>
  <c r="C146" i="126"/>
  <c r="C147" i="126"/>
  <c r="C148" i="126"/>
  <c r="C150" i="126"/>
  <c r="C152" i="126"/>
  <c r="C153" i="126"/>
  <c r="C117" i="126"/>
  <c r="B218" i="23" l="1"/>
  <c r="C217" i="23" l="1"/>
  <c r="C119" i="131" l="1"/>
  <c r="C120" i="131"/>
  <c r="C122" i="131"/>
  <c r="C124" i="131"/>
  <c r="C136" i="131"/>
  <c r="C138" i="131"/>
  <c r="C139" i="131"/>
  <c r="C140" i="131"/>
  <c r="C141" i="131"/>
  <c r="C143" i="131"/>
  <c r="C144" i="131"/>
  <c r="C146" i="131"/>
  <c r="C147" i="131"/>
  <c r="C148" i="131"/>
  <c r="C150" i="131"/>
  <c r="C152" i="131"/>
  <c r="C153" i="131"/>
  <c r="C117" i="131"/>
  <c r="C126" i="132" l="1"/>
  <c r="C126" i="129"/>
  <c r="C126" i="130"/>
  <c r="C126" i="128"/>
  <c r="C126" i="127"/>
  <c r="C126" i="125"/>
  <c r="C126" i="124"/>
  <c r="C135" i="131" l="1"/>
  <c r="C134" i="131"/>
  <c r="C133" i="131"/>
  <c r="C132" i="131"/>
  <c r="C131" i="131"/>
  <c r="C130" i="131"/>
  <c r="C129" i="131"/>
  <c r="C128" i="131"/>
  <c r="C127" i="131"/>
  <c r="C137" i="131"/>
  <c r="C151" i="126" l="1"/>
  <c r="C127" i="126"/>
  <c r="C127" i="127"/>
  <c r="C127" i="128"/>
  <c r="C127" i="130"/>
  <c r="C127" i="124"/>
  <c r="C127" i="129"/>
  <c r="C127" i="125"/>
  <c r="C127" i="132"/>
  <c r="C133" i="126"/>
  <c r="C133" i="124"/>
  <c r="C133" i="125"/>
  <c r="C133" i="127"/>
  <c r="C133" i="128"/>
  <c r="C133" i="132"/>
  <c r="C133" i="130"/>
  <c r="C133" i="129"/>
  <c r="C134" i="126"/>
  <c r="C134" i="125"/>
  <c r="C134" i="127"/>
  <c r="C134" i="124"/>
  <c r="C134" i="128"/>
  <c r="C134" i="130"/>
  <c r="C134" i="129"/>
  <c r="C134" i="132"/>
  <c r="C135" i="126"/>
  <c r="C135" i="127"/>
  <c r="C135" i="128"/>
  <c r="C135" i="130"/>
  <c r="C135" i="129"/>
  <c r="C135" i="132"/>
  <c r="C135" i="124"/>
  <c r="C135" i="125"/>
  <c r="C129" i="126"/>
  <c r="C129" i="132"/>
  <c r="C129" i="130"/>
  <c r="C129" i="129"/>
  <c r="C129" i="124"/>
  <c r="C129" i="125"/>
  <c r="C129" i="127"/>
  <c r="C129" i="128"/>
  <c r="C130" i="126"/>
  <c r="C130" i="129"/>
  <c r="C130" i="132"/>
  <c r="C130" i="125"/>
  <c r="C130" i="128"/>
  <c r="C130" i="127"/>
  <c r="C130" i="124"/>
  <c r="C130" i="130"/>
  <c r="C128" i="126"/>
  <c r="C128" i="128"/>
  <c r="C128" i="130"/>
  <c r="C128" i="129"/>
  <c r="C128" i="124"/>
  <c r="C128" i="125"/>
  <c r="C128" i="132"/>
  <c r="C128" i="127"/>
  <c r="C131" i="126"/>
  <c r="C131" i="132"/>
  <c r="C131" i="125"/>
  <c r="C131" i="127"/>
  <c r="C131" i="129"/>
  <c r="C131" i="128"/>
  <c r="C131" i="130"/>
  <c r="C131" i="124"/>
  <c r="C132" i="126"/>
  <c r="C132" i="125"/>
  <c r="C132" i="132"/>
  <c r="C132" i="127"/>
  <c r="C132" i="128"/>
  <c r="C132" i="130"/>
  <c r="C132" i="129"/>
  <c r="C132" i="124"/>
  <c r="C125" i="126"/>
  <c r="C123" i="126"/>
  <c r="C121" i="126"/>
  <c r="C118" i="126"/>
  <c r="C118" i="132"/>
  <c r="C118" i="124"/>
  <c r="C118" i="129"/>
  <c r="C118" i="130"/>
  <c r="C118" i="128"/>
  <c r="C118" i="125"/>
  <c r="C118" i="127"/>
  <c r="C121" i="128"/>
  <c r="C121" i="125"/>
  <c r="C121" i="127"/>
  <c r="C121" i="132"/>
  <c r="C121" i="124"/>
  <c r="C121" i="129"/>
  <c r="C121" i="130"/>
  <c r="C151" i="128"/>
  <c r="C151" i="132"/>
  <c r="C151" i="127"/>
  <c r="C151" i="124"/>
  <c r="C151" i="130"/>
  <c r="C151" i="125"/>
  <c r="C151" i="129"/>
  <c r="C125" i="129"/>
  <c r="C125" i="125"/>
  <c r="C125" i="130"/>
  <c r="C125" i="128"/>
  <c r="C125" i="127"/>
  <c r="C125" i="132"/>
  <c r="C125" i="124"/>
  <c r="C123" i="125"/>
  <c r="C123" i="128"/>
  <c r="C123" i="129"/>
  <c r="C123" i="132"/>
  <c r="C123" i="130"/>
  <c r="C123" i="124"/>
  <c r="C123" i="127"/>
  <c r="C148" i="129"/>
  <c r="C148" i="130"/>
  <c r="C148" i="128"/>
  <c r="C148" i="127"/>
  <c r="C148" i="125"/>
  <c r="C148" i="132"/>
  <c r="C148" i="124"/>
  <c r="C139" i="129"/>
  <c r="C139" i="125"/>
  <c r="C139" i="130"/>
  <c r="C139" i="132"/>
  <c r="C139" i="127"/>
  <c r="C139" i="128"/>
  <c r="C139" i="124"/>
  <c r="C153" i="125"/>
  <c r="C153" i="128"/>
  <c r="C153" i="132"/>
  <c r="C153" i="124"/>
  <c r="C153" i="130"/>
  <c r="C153" i="129"/>
  <c r="C153" i="127"/>
  <c r="C152" i="127"/>
  <c r="C152" i="130"/>
  <c r="C152" i="125"/>
  <c r="C152" i="129"/>
  <c r="C152" i="128"/>
  <c r="C152" i="132"/>
  <c r="C152" i="124"/>
  <c r="C147" i="130"/>
  <c r="C147" i="127"/>
  <c r="C147" i="124"/>
  <c r="C147" i="128"/>
  <c r="C147" i="132"/>
  <c r="C147" i="129"/>
  <c r="C147" i="125"/>
  <c r="C138" i="129"/>
  <c r="C138" i="132"/>
  <c r="C138" i="130"/>
  <c r="C138" i="124"/>
  <c r="C138" i="128"/>
  <c r="C138" i="127"/>
  <c r="C138" i="125"/>
  <c r="C120" i="130"/>
  <c r="C120" i="128"/>
  <c r="C120" i="127"/>
  <c r="C120" i="125"/>
  <c r="C120" i="129"/>
  <c r="C120" i="132"/>
  <c r="C120" i="124"/>
  <c r="C141" i="129"/>
  <c r="C141" i="128"/>
  <c r="C141" i="130"/>
  <c r="C141" i="127"/>
  <c r="C141" i="125"/>
  <c r="C141" i="132"/>
  <c r="C141" i="124"/>
  <c r="C150" i="132"/>
  <c r="C150" i="130"/>
  <c r="C150" i="124"/>
  <c r="C150" i="128"/>
  <c r="C150" i="125"/>
  <c r="C150" i="129"/>
  <c r="C150" i="127"/>
  <c r="C140" i="124"/>
  <c r="C140" i="129"/>
  <c r="C140" i="128"/>
  <c r="C140" i="125"/>
  <c r="C140" i="132"/>
  <c r="C140" i="127"/>
  <c r="C140" i="130"/>
  <c r="C146" i="127"/>
  <c r="C146" i="129"/>
  <c r="C146" i="128"/>
  <c r="C146" i="132"/>
  <c r="C146" i="130"/>
  <c r="C146" i="124"/>
  <c r="C146" i="125"/>
  <c r="C136" i="127"/>
  <c r="C136" i="132"/>
  <c r="C136" i="125"/>
  <c r="C136" i="124"/>
  <c r="C136" i="129"/>
  <c r="C136" i="128"/>
  <c r="C136" i="130"/>
  <c r="C119" i="129"/>
  <c r="C119" i="128"/>
  <c r="C119" i="132"/>
  <c r="C119" i="130"/>
  <c r="C119" i="124"/>
  <c r="C119" i="127"/>
  <c r="C119" i="125"/>
  <c r="C145" i="125"/>
  <c r="C145" i="132"/>
  <c r="C145" i="124"/>
  <c r="C145" i="129"/>
  <c r="C145" i="130"/>
  <c r="C145" i="128"/>
  <c r="C145" i="127"/>
  <c r="C124" i="132"/>
  <c r="C124" i="129"/>
  <c r="C124" i="128"/>
  <c r="C124" i="127"/>
  <c r="C124" i="130"/>
  <c r="C124" i="125"/>
  <c r="C124" i="124"/>
  <c r="C143" i="128"/>
  <c r="C143" i="125"/>
  <c r="C143" i="132"/>
  <c r="C143" i="127"/>
  <c r="C143" i="124"/>
  <c r="C143" i="129"/>
  <c r="C143" i="130"/>
  <c r="C144" i="127"/>
  <c r="C144" i="124"/>
  <c r="C144" i="125"/>
  <c r="C144" i="132"/>
  <c r="C144" i="130"/>
  <c r="C144" i="129"/>
  <c r="C144" i="128"/>
  <c r="C122" i="127"/>
  <c r="C122" i="125"/>
  <c r="C122" i="130"/>
  <c r="C122" i="132"/>
  <c r="C122" i="124"/>
  <c r="C122" i="129"/>
  <c r="C122" i="128"/>
  <c r="C142" i="131"/>
  <c r="C125" i="131"/>
  <c r="C123" i="131"/>
  <c r="C121" i="131"/>
  <c r="C118" i="131"/>
  <c r="C151" i="131"/>
  <c r="C149" i="131"/>
  <c r="C149" i="126" l="1"/>
  <c r="C142" i="126"/>
  <c r="C137" i="126"/>
  <c r="C149" i="129"/>
  <c r="C149" i="130"/>
  <c r="C149" i="127"/>
  <c r="C149" i="125"/>
  <c r="C149" i="132"/>
  <c r="C149" i="124"/>
  <c r="C149" i="128"/>
  <c r="C137" i="125"/>
  <c r="C137" i="132"/>
  <c r="C137" i="124"/>
  <c r="C137" i="130"/>
  <c r="C137" i="128"/>
  <c r="C137" i="129"/>
  <c r="C137" i="127"/>
  <c r="C142" i="132"/>
  <c r="C142" i="130"/>
  <c r="C142" i="124"/>
  <c r="C142" i="128"/>
  <c r="C142" i="127"/>
  <c r="C142" i="125"/>
  <c r="C142" i="129"/>
  <c r="B151" i="126" l="1"/>
  <c r="B150" i="126"/>
  <c r="B149" i="126"/>
  <c r="B148" i="126"/>
  <c r="B143" i="126"/>
  <c r="B142" i="126"/>
  <c r="B141" i="126"/>
  <c r="B138" i="126"/>
  <c r="B137" i="126"/>
  <c r="B136" i="126"/>
  <c r="B135" i="126"/>
  <c r="B134" i="126"/>
  <c r="B133" i="126"/>
  <c r="B132" i="126"/>
  <c r="B131" i="126"/>
  <c r="B130" i="126"/>
  <c r="B129" i="126"/>
  <c r="B128" i="126"/>
  <c r="B127" i="126"/>
  <c r="B151" i="131"/>
  <c r="B150" i="131"/>
  <c r="B149" i="131"/>
  <c r="B148" i="131"/>
  <c r="B144" i="131"/>
  <c r="B143" i="131"/>
  <c r="B142" i="131"/>
  <c r="B141" i="131"/>
  <c r="B137" i="131"/>
  <c r="B136" i="131"/>
  <c r="B135" i="131"/>
  <c r="B134" i="131"/>
  <c r="B133" i="131"/>
  <c r="B132" i="131"/>
  <c r="B131" i="131"/>
  <c r="B130" i="131"/>
  <c r="B129" i="131"/>
  <c r="B128" i="131"/>
  <c r="B127" i="131"/>
  <c r="B126" i="131"/>
  <c r="B125" i="131"/>
  <c r="B124" i="131"/>
  <c r="B123" i="131"/>
  <c r="B122" i="131"/>
  <c r="B121" i="131"/>
  <c r="B120" i="131"/>
  <c r="B118" i="131"/>
  <c r="B117" i="131"/>
  <c r="B122" i="126" l="1"/>
  <c r="B123" i="126"/>
  <c r="B124" i="126"/>
  <c r="B125" i="126"/>
  <c r="B118" i="126"/>
  <c r="B126" i="126"/>
  <c r="B119" i="126"/>
  <c r="B120" i="126"/>
  <c r="B117" i="126"/>
  <c r="B121" i="126"/>
  <c r="B130" i="23"/>
  <c r="B131" i="23"/>
  <c r="B132" i="23"/>
  <c r="B133" i="23"/>
  <c r="B127" i="23"/>
  <c r="B128" i="23"/>
  <c r="B129" i="23"/>
  <c r="B139" i="23"/>
  <c r="B147" i="23"/>
  <c r="B140" i="23"/>
  <c r="B146" i="23"/>
  <c r="B144" i="23"/>
  <c r="B144" i="126"/>
  <c r="B152" i="23"/>
  <c r="B145" i="23"/>
  <c r="B153" i="23"/>
  <c r="B118" i="124"/>
  <c r="B118" i="127"/>
  <c r="B118" i="130"/>
  <c r="B118" i="132"/>
  <c r="B118" i="125"/>
  <c r="B118" i="128"/>
  <c r="B118" i="129"/>
  <c r="B126" i="124"/>
  <c r="B126" i="127"/>
  <c r="B126" i="130"/>
  <c r="B126" i="132"/>
  <c r="B126" i="125"/>
  <c r="B126" i="128"/>
  <c r="B126" i="129"/>
  <c r="B134" i="124"/>
  <c r="B134" i="127"/>
  <c r="B134" i="130"/>
  <c r="B134" i="132"/>
  <c r="B134" i="125"/>
  <c r="B134" i="128"/>
  <c r="B134" i="129"/>
  <c r="B142" i="124"/>
  <c r="B142" i="127"/>
  <c r="B142" i="130"/>
  <c r="B142" i="132"/>
  <c r="B142" i="125"/>
  <c r="B142" i="128"/>
  <c r="B142" i="129"/>
  <c r="B150" i="124"/>
  <c r="B150" i="127"/>
  <c r="B150" i="130"/>
  <c r="B150" i="132"/>
  <c r="B150" i="125"/>
  <c r="B150" i="128"/>
  <c r="B150" i="129"/>
  <c r="B119" i="124"/>
  <c r="B119" i="127"/>
  <c r="B119" i="130"/>
  <c r="B119" i="132"/>
  <c r="B119" i="125"/>
  <c r="B119" i="128"/>
  <c r="B119" i="129"/>
  <c r="B127" i="124"/>
  <c r="B127" i="127"/>
  <c r="B127" i="130"/>
  <c r="B127" i="132"/>
  <c r="B127" i="125"/>
  <c r="B127" i="128"/>
  <c r="B127" i="129"/>
  <c r="B135" i="124"/>
  <c r="B135" i="127"/>
  <c r="B135" i="130"/>
  <c r="B135" i="132"/>
  <c r="B135" i="125"/>
  <c r="B135" i="128"/>
  <c r="B135" i="129"/>
  <c r="B143" i="124"/>
  <c r="B143" i="127"/>
  <c r="B143" i="130"/>
  <c r="B143" i="132"/>
  <c r="B143" i="125"/>
  <c r="B143" i="128"/>
  <c r="B143" i="129"/>
  <c r="B151" i="124"/>
  <c r="B151" i="127"/>
  <c r="B151" i="130"/>
  <c r="B151" i="132"/>
  <c r="B151" i="125"/>
  <c r="B151" i="128"/>
  <c r="B151" i="129"/>
  <c r="B120" i="124"/>
  <c r="B120" i="127"/>
  <c r="B120" i="130"/>
  <c r="B120" i="132"/>
  <c r="B120" i="125"/>
  <c r="B120" i="128"/>
  <c r="B120" i="129"/>
  <c r="B128" i="124"/>
  <c r="B128" i="127"/>
  <c r="B128" i="130"/>
  <c r="B128" i="132"/>
  <c r="B128" i="125"/>
  <c r="B128" i="129"/>
  <c r="B128" i="128"/>
  <c r="B136" i="124"/>
  <c r="B136" i="127"/>
  <c r="B136" i="130"/>
  <c r="B136" i="132"/>
  <c r="B136" i="125"/>
  <c r="B136" i="128"/>
  <c r="B136" i="129"/>
  <c r="B144" i="124"/>
  <c r="B144" i="127"/>
  <c r="B144" i="130"/>
  <c r="B144" i="132"/>
  <c r="B144" i="125"/>
  <c r="B144" i="128"/>
  <c r="B144" i="129"/>
  <c r="B121" i="124"/>
  <c r="B121" i="127"/>
  <c r="B121" i="130"/>
  <c r="B121" i="132"/>
  <c r="B121" i="129"/>
  <c r="B121" i="125"/>
  <c r="B121" i="128"/>
  <c r="B129" i="124"/>
  <c r="B129" i="127"/>
  <c r="B129" i="130"/>
  <c r="B129" i="132"/>
  <c r="B129" i="125"/>
  <c r="B129" i="128"/>
  <c r="B129" i="129"/>
  <c r="B137" i="124"/>
  <c r="B137" i="127"/>
  <c r="B137" i="130"/>
  <c r="B137" i="132"/>
  <c r="B137" i="129"/>
  <c r="B137" i="125"/>
  <c r="B137" i="128"/>
  <c r="B122" i="125"/>
  <c r="B122" i="128"/>
  <c r="B122" i="129"/>
  <c r="B122" i="124"/>
  <c r="B122" i="127"/>
  <c r="B122" i="130"/>
  <c r="B122" i="132"/>
  <c r="B130" i="125"/>
  <c r="B130" i="128"/>
  <c r="B130" i="129"/>
  <c r="B130" i="124"/>
  <c r="B130" i="127"/>
  <c r="B130" i="130"/>
  <c r="B130" i="132"/>
  <c r="B138" i="125"/>
  <c r="B138" i="128"/>
  <c r="B138" i="129"/>
  <c r="B138" i="124"/>
  <c r="B138" i="127"/>
  <c r="B138" i="130"/>
  <c r="B138" i="132"/>
  <c r="B123" i="125"/>
  <c r="B123" i="128"/>
  <c r="B123" i="129"/>
  <c r="B123" i="124"/>
  <c r="B123" i="127"/>
  <c r="B123" i="130"/>
  <c r="B123" i="132"/>
  <c r="B131" i="125"/>
  <c r="B131" i="128"/>
  <c r="B131" i="129"/>
  <c r="B131" i="124"/>
  <c r="B131" i="127"/>
  <c r="B131" i="130"/>
  <c r="B131" i="132"/>
  <c r="B124" i="125"/>
  <c r="B124" i="128"/>
  <c r="B124" i="129"/>
  <c r="B124" i="127"/>
  <c r="B124" i="124"/>
  <c r="B124" i="130"/>
  <c r="B124" i="132"/>
  <c r="B132" i="125"/>
  <c r="B132" i="128"/>
  <c r="B132" i="129"/>
  <c r="B132" i="124"/>
  <c r="B132" i="130"/>
  <c r="B132" i="132"/>
  <c r="B132" i="127"/>
  <c r="B148" i="125"/>
  <c r="B148" i="128"/>
  <c r="B148" i="129"/>
  <c r="B148" i="130"/>
  <c r="B148" i="132"/>
  <c r="B148" i="124"/>
  <c r="B148" i="127"/>
  <c r="B125" i="125"/>
  <c r="B125" i="128"/>
  <c r="B125" i="129"/>
  <c r="B125" i="127"/>
  <c r="B125" i="132"/>
  <c r="B125" i="124"/>
  <c r="B125" i="130"/>
  <c r="B133" i="125"/>
  <c r="B133" i="128"/>
  <c r="B133" i="129"/>
  <c r="B133" i="124"/>
  <c r="B133" i="127"/>
  <c r="B133" i="130"/>
  <c r="B133" i="132"/>
  <c r="B141" i="125"/>
  <c r="B141" i="128"/>
  <c r="B141" i="129"/>
  <c r="B141" i="132"/>
  <c r="B141" i="124"/>
  <c r="B141" i="127"/>
  <c r="B141" i="130"/>
  <c r="B149" i="125"/>
  <c r="B149" i="128"/>
  <c r="B149" i="129"/>
  <c r="B149" i="132"/>
  <c r="B149" i="124"/>
  <c r="B149" i="127"/>
  <c r="B149" i="130"/>
  <c r="B117" i="127"/>
  <c r="B117" i="128"/>
  <c r="B117" i="130"/>
  <c r="B117" i="129"/>
  <c r="B117" i="132"/>
  <c r="B117" i="124"/>
  <c r="B117" i="1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200-000001000000}">
      <text>
        <r>
          <rPr>
            <b/>
            <sz val="9"/>
            <color indexed="81"/>
            <rFont val="Segoe UI"/>
            <family val="2"/>
          </rPr>
          <t>Eggler Lukas:</t>
        </r>
        <r>
          <rPr>
            <sz val="9"/>
            <color indexed="81"/>
            <rFont val="Segoe UI"/>
            <family val="2"/>
          </rPr>
          <t xml:space="preserve">
manufactured gases</t>
        </r>
      </text>
    </comment>
    <comment ref="H76" authorId="0" shapeId="0" xr:uid="{00000000-0006-0000-02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2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2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300-000001000000}">
      <text>
        <r>
          <rPr>
            <b/>
            <sz val="9"/>
            <color indexed="81"/>
            <rFont val="Segoe UI"/>
            <family val="2"/>
          </rPr>
          <t>Eggler Lukas:</t>
        </r>
        <r>
          <rPr>
            <sz val="9"/>
            <color indexed="81"/>
            <rFont val="Segoe UI"/>
            <family val="2"/>
          </rPr>
          <t xml:space="preserve">
manufactured gases</t>
        </r>
      </text>
    </comment>
    <comment ref="H76" authorId="0" shapeId="0" xr:uid="{00000000-0006-0000-03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3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3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 ref="B115" authorId="0" shapeId="0" xr:uid="{00000000-0006-0000-0300-000005000000}">
      <text>
        <r>
          <rPr>
            <b/>
            <sz val="9"/>
            <color indexed="81"/>
            <rFont val="Segoe UI"/>
            <family val="2"/>
          </rPr>
          <t>Eggler Lukas:</t>
        </r>
        <r>
          <rPr>
            <sz val="9"/>
            <color indexed="81"/>
            <rFont val="Segoe UI"/>
            <family val="2"/>
          </rPr>
          <t xml:space="preserve">
max. Cf 2000-2015 based on IDEES database (for EU)</t>
        </r>
      </text>
    </comment>
    <comment ref="C115" authorId="0" shapeId="0" xr:uid="{00000000-0006-0000-0300-000006000000}">
      <text>
        <r>
          <rPr>
            <b/>
            <sz val="9"/>
            <color indexed="81"/>
            <rFont val="Segoe UI"/>
            <family val="2"/>
          </rPr>
          <t>Eggler Lukas:</t>
        </r>
        <r>
          <rPr>
            <sz val="9"/>
            <color indexed="81"/>
            <rFont val="Segoe UI"/>
            <family val="2"/>
          </rPr>
          <t xml:space="preserve">
Max. observed cap-growth 2000-2015, based  on historic capacity addition rates from IDEES DB (for EU-countries)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400-000001000000}">
      <text>
        <r>
          <rPr>
            <b/>
            <sz val="9"/>
            <color indexed="81"/>
            <rFont val="Segoe UI"/>
            <family val="2"/>
          </rPr>
          <t>Eggler Lukas:</t>
        </r>
        <r>
          <rPr>
            <sz val="9"/>
            <color indexed="81"/>
            <rFont val="Segoe UI"/>
            <family val="2"/>
          </rPr>
          <t xml:space="preserve">
manufactured gases</t>
        </r>
      </text>
    </comment>
    <comment ref="H76" authorId="0" shapeId="0" xr:uid="{00000000-0006-0000-04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4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4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 ref="B152" authorId="0" shapeId="0" xr:uid="{00000000-0006-0000-0400-000005000000}">
      <text>
        <r>
          <rPr>
            <b/>
            <sz val="9"/>
            <color indexed="81"/>
            <rFont val="Segoe UI"/>
            <family val="2"/>
          </rPr>
          <t>Eggler Lkas:</t>
        </r>
        <r>
          <rPr>
            <sz val="9"/>
            <color indexed="81"/>
            <rFont val="Segoe UI"/>
            <family val="2"/>
          </rPr>
          <t xml:space="preserve">
source: DUKES 6.5 (national accounts)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500-000001000000}">
      <text>
        <r>
          <rPr>
            <b/>
            <sz val="9"/>
            <color indexed="81"/>
            <rFont val="Segoe UI"/>
            <family val="2"/>
          </rPr>
          <t>Eggler Lukas:</t>
        </r>
        <r>
          <rPr>
            <sz val="9"/>
            <color indexed="81"/>
            <rFont val="Segoe UI"/>
            <family val="2"/>
          </rPr>
          <t xml:space="preserve">
manufactured gases</t>
        </r>
      </text>
    </comment>
    <comment ref="H76" authorId="0" shapeId="0" xr:uid="{00000000-0006-0000-05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5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5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600-000001000000}">
      <text>
        <r>
          <rPr>
            <b/>
            <sz val="9"/>
            <color indexed="81"/>
            <rFont val="Segoe UI"/>
            <family val="2"/>
          </rPr>
          <t>Eggler Lukas:</t>
        </r>
        <r>
          <rPr>
            <sz val="9"/>
            <color indexed="81"/>
            <rFont val="Segoe UI"/>
            <family val="2"/>
          </rPr>
          <t xml:space="preserve">
manufactured gases</t>
        </r>
      </text>
    </comment>
    <comment ref="H76" authorId="0" shapeId="0" xr:uid="{00000000-0006-0000-06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6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6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700-000001000000}">
      <text>
        <r>
          <rPr>
            <b/>
            <sz val="9"/>
            <color indexed="81"/>
            <rFont val="Segoe UI"/>
            <family val="2"/>
          </rPr>
          <t>Eggler Lukas:</t>
        </r>
        <r>
          <rPr>
            <sz val="9"/>
            <color indexed="81"/>
            <rFont val="Segoe UI"/>
            <family val="2"/>
          </rPr>
          <t xml:space="preserve">
manufactured gases</t>
        </r>
      </text>
    </comment>
    <comment ref="H76" authorId="0" shapeId="0" xr:uid="{00000000-0006-0000-07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7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7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800-000001000000}">
      <text>
        <r>
          <rPr>
            <b/>
            <sz val="9"/>
            <color indexed="81"/>
            <rFont val="Segoe UI"/>
            <family val="2"/>
          </rPr>
          <t>Eggler Lukas:</t>
        </r>
        <r>
          <rPr>
            <sz val="9"/>
            <color indexed="81"/>
            <rFont val="Segoe UI"/>
            <family val="2"/>
          </rPr>
          <t xml:space="preserve">
manufactured gases</t>
        </r>
      </text>
    </comment>
    <comment ref="H76" authorId="0" shapeId="0" xr:uid="{00000000-0006-0000-08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8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8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900-000001000000}">
      <text>
        <r>
          <rPr>
            <b/>
            <sz val="9"/>
            <color indexed="81"/>
            <rFont val="Segoe UI"/>
            <family val="2"/>
          </rPr>
          <t>Eggler Lukas:</t>
        </r>
        <r>
          <rPr>
            <sz val="9"/>
            <color indexed="81"/>
            <rFont val="Segoe UI"/>
            <family val="2"/>
          </rPr>
          <t xml:space="preserve">
manufactured gases</t>
        </r>
      </text>
    </comment>
    <comment ref="H76" authorId="0" shapeId="0" xr:uid="{00000000-0006-0000-09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9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9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B38" authorId="0" shapeId="0" xr:uid="{00000000-0006-0000-0A00-000001000000}">
      <text>
        <r>
          <rPr>
            <b/>
            <sz val="9"/>
            <color indexed="81"/>
            <rFont val="Segoe UI"/>
            <family val="2"/>
          </rPr>
          <t>Eggler Lukas:</t>
        </r>
        <r>
          <rPr>
            <sz val="9"/>
            <color indexed="81"/>
            <rFont val="Segoe UI"/>
            <family val="2"/>
          </rPr>
          <t xml:space="preserve">
error in IEA data - same value assumed as for chp-s</t>
        </r>
      </text>
    </comment>
    <comment ref="C74" authorId="0" shapeId="0" xr:uid="{00000000-0006-0000-0A00-000002000000}">
      <text>
        <r>
          <rPr>
            <b/>
            <sz val="9"/>
            <color indexed="81"/>
            <rFont val="Segoe UI"/>
            <family val="2"/>
          </rPr>
          <t>Eggler Lukas:</t>
        </r>
        <r>
          <rPr>
            <sz val="9"/>
            <color indexed="81"/>
            <rFont val="Segoe UI"/>
            <family val="2"/>
          </rPr>
          <t xml:space="preserve">
manufactured gases</t>
        </r>
      </text>
    </comment>
    <comment ref="H76" authorId="0" shapeId="0" xr:uid="{00000000-0006-0000-0A00-000003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A00-000004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A00-000005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B00-000001000000}">
      <text>
        <r>
          <rPr>
            <b/>
            <sz val="9"/>
            <color indexed="81"/>
            <rFont val="Segoe UI"/>
            <family val="2"/>
          </rPr>
          <t>Eggler Lukas:</t>
        </r>
        <r>
          <rPr>
            <sz val="9"/>
            <color indexed="81"/>
            <rFont val="Segoe UI"/>
            <family val="2"/>
          </rPr>
          <t xml:space="preserve">
manufactured gases</t>
        </r>
      </text>
    </comment>
    <comment ref="H76" authorId="0" shapeId="0" xr:uid="{00000000-0006-0000-0B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B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B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7" authorId="0" shapeId="0" xr:uid="{00000000-0006-0000-0C00-000001000000}">
      <text>
        <r>
          <rPr>
            <b/>
            <sz val="9"/>
            <color indexed="81"/>
            <rFont val="Tahoma"/>
            <family val="2"/>
          </rPr>
          <t xml:space="preserve">Daniel:Initial share weights of EV Batteries to use logit model functions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IdB</author>
    <author>Iñigo</author>
    <author>Autor</author>
    <author>marga</author>
  </authors>
  <commentList>
    <comment ref="B4" authorId="0" shapeId="0" xr:uid="{00000000-0006-0000-0D00-000001000000}">
      <text>
        <r>
          <rPr>
            <b/>
            <sz val="9"/>
            <color indexed="81"/>
            <rFont val="Tahoma"/>
            <family val="2"/>
          </rPr>
          <t xml:space="preserve">IdB:(Mohr et al.,2015)
</t>
        </r>
        <r>
          <rPr>
            <sz val="9"/>
            <color indexed="81"/>
            <rFont val="Tahoma"/>
            <family val="2"/>
          </rPr>
          <t xml:space="preserve">
</t>
        </r>
      </text>
    </comment>
    <comment ref="B5" authorId="0" shapeId="0" xr:uid="{00000000-0006-0000-0D00-000002000000}">
      <text>
        <r>
          <rPr>
            <b/>
            <sz val="9"/>
            <color indexed="81"/>
            <rFont val="Tahoma"/>
            <family val="2"/>
          </rPr>
          <t>IdB:Mohr et al.,2015</t>
        </r>
        <r>
          <rPr>
            <sz val="9"/>
            <color indexed="81"/>
            <rFont val="Tahoma"/>
            <family val="2"/>
          </rPr>
          <t xml:space="preserve">
</t>
        </r>
      </text>
    </comment>
    <comment ref="B11" authorId="0" shapeId="0" xr:uid="{00000000-0006-0000-0D00-000003000000}">
      <text>
        <r>
          <rPr>
            <b/>
            <sz val="9"/>
            <color indexed="81"/>
            <rFont val="Tahoma"/>
            <family val="2"/>
          </rPr>
          <t xml:space="preserve">IdB:IEA balances
</t>
        </r>
        <r>
          <rPr>
            <sz val="9"/>
            <color indexed="81"/>
            <rFont val="Tahoma"/>
            <family val="2"/>
          </rPr>
          <t xml:space="preserve">
</t>
        </r>
      </text>
    </comment>
    <comment ref="B12" authorId="0" shapeId="0" xr:uid="{00000000-0006-0000-0D00-000004000000}">
      <text>
        <r>
          <rPr>
            <b/>
            <sz val="9"/>
            <color indexed="81"/>
            <rFont val="Tahoma"/>
            <family val="2"/>
          </rPr>
          <t>IdB: IEA balances</t>
        </r>
        <r>
          <rPr>
            <sz val="9"/>
            <color indexed="81"/>
            <rFont val="Tahoma"/>
            <family val="2"/>
          </rPr>
          <t xml:space="preserve">
</t>
        </r>
      </text>
    </comment>
    <comment ref="B13" authorId="0" shapeId="0" xr:uid="{00000000-0006-0000-0D00-000005000000}">
      <text>
        <r>
          <rPr>
            <b/>
            <sz val="9"/>
            <color indexed="81"/>
            <rFont val="Tahoma"/>
            <family val="2"/>
          </rPr>
          <t>IdB: EVI (2016, Table 6)</t>
        </r>
        <r>
          <rPr>
            <sz val="9"/>
            <color indexed="81"/>
            <rFont val="Tahoma"/>
            <family val="2"/>
          </rPr>
          <t xml:space="preserve">
</t>
        </r>
      </text>
    </comment>
    <comment ref="B16" authorId="0" shapeId="0" xr:uid="{00000000-0006-0000-0D00-000006000000}">
      <text>
        <r>
          <rPr>
            <b/>
            <sz val="9"/>
            <color indexed="81"/>
            <rFont val="Tahoma"/>
            <family val="2"/>
          </rPr>
          <t>IdB:(CDIAC)</t>
        </r>
        <r>
          <rPr>
            <sz val="9"/>
            <color indexed="81"/>
            <rFont val="Tahoma"/>
            <family val="2"/>
          </rPr>
          <t xml:space="preserve">
</t>
        </r>
      </text>
    </comment>
    <comment ref="B17" authorId="0" shapeId="0" xr:uid="{00000000-0006-0000-0D00-000007000000}">
      <text>
        <r>
          <rPr>
            <b/>
            <sz val="9"/>
            <color indexed="81"/>
            <rFont val="Tahoma"/>
            <family val="2"/>
          </rPr>
          <t>IdB:(CDIAC)</t>
        </r>
        <r>
          <rPr>
            <sz val="9"/>
            <color indexed="81"/>
            <rFont val="Tahoma"/>
            <family val="2"/>
          </rPr>
          <t xml:space="preserve">
</t>
        </r>
      </text>
    </comment>
    <comment ref="B18" authorId="0" shapeId="0" xr:uid="{00000000-0006-0000-0D00-000008000000}">
      <text>
        <r>
          <rPr>
            <b/>
            <sz val="9"/>
            <color indexed="81"/>
            <rFont val="Tahoma"/>
            <family val="2"/>
          </rPr>
          <t>IdB:(CDIAC)</t>
        </r>
        <r>
          <rPr>
            <sz val="9"/>
            <color indexed="81"/>
            <rFont val="Tahoma"/>
            <family val="2"/>
          </rPr>
          <t xml:space="preserve">
</t>
        </r>
      </text>
    </comment>
    <comment ref="B19" authorId="0" shapeId="0" xr:uid="{00000000-0006-0000-0D00-000009000000}">
      <text>
        <r>
          <rPr>
            <b/>
            <sz val="9"/>
            <color indexed="81"/>
            <rFont val="Tahoma"/>
            <family val="2"/>
          </rPr>
          <t xml:space="preserve">IdB: IEA balances. Esta variable es solo para comprobación nuestra, no debería ir en base de datos
</t>
        </r>
        <r>
          <rPr>
            <sz val="9"/>
            <color indexed="81"/>
            <rFont val="Tahoma"/>
            <family val="2"/>
          </rPr>
          <t xml:space="preserve">
</t>
        </r>
      </text>
    </comment>
    <comment ref="B20" authorId="0" shapeId="0" xr:uid="{00000000-0006-0000-0D00-00000A000000}">
      <text>
        <r>
          <rPr>
            <b/>
            <sz val="9"/>
            <color indexed="81"/>
            <rFont val="Tahoma"/>
            <family val="2"/>
          </rPr>
          <t>IdB:</t>
        </r>
        <r>
          <rPr>
            <sz val="9"/>
            <color indexed="81"/>
            <rFont val="Tahoma"/>
            <family val="2"/>
          </rPr>
          <t xml:space="preserve"> IEA balances
Esta variable es solo para comprobación nuestra, no debería ir en base de datos</t>
        </r>
      </text>
    </comment>
    <comment ref="B21" authorId="0" shapeId="0" xr:uid="{00000000-0006-0000-0D00-00000B000000}">
      <text>
        <r>
          <rPr>
            <b/>
            <sz val="9"/>
            <color indexed="81"/>
            <rFont val="Tahoma"/>
            <family val="2"/>
          </rPr>
          <t>IdB: IEA balances</t>
        </r>
        <r>
          <rPr>
            <sz val="9"/>
            <color indexed="81"/>
            <rFont val="Tahoma"/>
            <family val="2"/>
          </rPr>
          <t xml:space="preserve">
Esta variable es solo para comprobación nuestra, no debería ir en base de datos</t>
        </r>
      </text>
    </comment>
    <comment ref="B22" authorId="0" shapeId="0" xr:uid="{00000000-0006-0000-0D00-00000C000000}">
      <text>
        <r>
          <rPr>
            <b/>
            <sz val="9"/>
            <color indexed="81"/>
            <rFont val="Tahoma"/>
            <family val="2"/>
          </rPr>
          <t>IdB: IEA balances</t>
        </r>
        <r>
          <rPr>
            <sz val="9"/>
            <color indexed="81"/>
            <rFont val="Tahoma"/>
            <family val="2"/>
          </rPr>
          <t xml:space="preserve">
Esta variable es solo para comprobación nuestra, no debería ir en base de datos</t>
        </r>
      </text>
    </comment>
    <comment ref="B23" authorId="0" shapeId="0" xr:uid="{00000000-0006-0000-0D00-00000D000000}">
      <text>
        <r>
          <rPr>
            <b/>
            <sz val="9"/>
            <color indexed="81"/>
            <rFont val="Tahoma"/>
            <family val="2"/>
          </rPr>
          <t>IdB: IEA balances</t>
        </r>
        <r>
          <rPr>
            <sz val="9"/>
            <color indexed="81"/>
            <rFont val="Tahoma"/>
            <family val="2"/>
          </rPr>
          <t xml:space="preserve">
Esta variable es solo para comprobación nuestra, no debería ir en base de datos</t>
        </r>
      </text>
    </comment>
    <comment ref="B24" authorId="0" shapeId="0" xr:uid="{00000000-0006-0000-0D00-00000E000000}">
      <text>
        <r>
          <rPr>
            <b/>
            <sz val="9"/>
            <color indexed="81"/>
            <rFont val="Tahoma"/>
            <family val="2"/>
          </rPr>
          <t>IdB: IEA balances</t>
        </r>
        <r>
          <rPr>
            <sz val="9"/>
            <color indexed="81"/>
            <rFont val="Tahoma"/>
            <family val="2"/>
          </rPr>
          <t xml:space="preserve">
Esta variable es solo para comprobación nuestra, no debería ir en base de datos</t>
        </r>
      </text>
    </comment>
    <comment ref="B25" authorId="1" shapeId="0" xr:uid="{00000000-0006-0000-0D00-00000F000000}">
      <text>
        <r>
          <rPr>
            <b/>
            <sz val="9"/>
            <color indexed="81"/>
            <rFont val="Tahoma"/>
            <family val="2"/>
          </rPr>
          <t>Iñigo:</t>
        </r>
        <r>
          <rPr>
            <sz val="9"/>
            <color indexed="81"/>
            <rFont val="Tahoma"/>
            <family val="2"/>
          </rPr>
          <t xml:space="preserve">
BP2016</t>
        </r>
      </text>
    </comment>
    <comment ref="B27" authorId="1" shapeId="0" xr:uid="{00000000-0006-0000-0D00-000010000000}">
      <text>
        <r>
          <rPr>
            <b/>
            <sz val="9"/>
            <color indexed="81"/>
            <rFont val="Tahoma"/>
            <family val="2"/>
          </rPr>
          <t>Iñigo:</t>
        </r>
        <r>
          <rPr>
            <sz val="9"/>
            <color indexed="81"/>
            <rFont val="Tahoma"/>
            <family val="2"/>
          </rPr>
          <t xml:space="preserve">
SHC 2016 and own calculations</t>
        </r>
      </text>
    </comment>
    <comment ref="B28" authorId="1" shapeId="0" xr:uid="{00000000-0006-0000-0D00-000011000000}">
      <text>
        <r>
          <rPr>
            <b/>
            <sz val="9"/>
            <color indexed="81"/>
            <rFont val="Tahoma"/>
            <family val="2"/>
          </rPr>
          <t>Iñigo:</t>
        </r>
        <r>
          <rPr>
            <sz val="9"/>
            <color indexed="81"/>
            <rFont val="Tahoma"/>
            <family val="2"/>
          </rPr>
          <t xml:space="preserve">
Lund&amp;Boyer (2015) and own calculations</t>
        </r>
      </text>
    </comment>
    <comment ref="B29" authorId="1" shapeId="0" xr:uid="{00000000-0006-0000-0D00-000012000000}">
      <text>
        <r>
          <rPr>
            <b/>
            <sz val="9"/>
            <color indexed="81"/>
            <rFont val="Tahoma"/>
            <family val="2"/>
          </rPr>
          <t>Iñigo:</t>
        </r>
        <r>
          <rPr>
            <sz val="9"/>
            <color indexed="81"/>
            <rFont val="Tahoma"/>
            <family val="2"/>
          </rPr>
          <t xml:space="preserve">
IEA balances and own estimation</t>
        </r>
      </text>
    </comment>
    <comment ref="B31" authorId="1" shapeId="0" xr:uid="{00000000-0006-0000-0D00-000013000000}">
      <text>
        <r>
          <rPr>
            <b/>
            <sz val="9"/>
            <color indexed="81"/>
            <rFont val="Tahoma"/>
            <family val="2"/>
          </rPr>
          <t>Iñigo:</t>
        </r>
        <r>
          <rPr>
            <sz val="9"/>
            <color indexed="81"/>
            <rFont val="Tahoma"/>
            <family val="2"/>
          </rPr>
          <t xml:space="preserve">
SHC 2016 and own calculations</t>
        </r>
      </text>
    </comment>
    <comment ref="B33" authorId="1" shapeId="0" xr:uid="{00000000-0006-0000-0D00-000014000000}">
      <text>
        <r>
          <rPr>
            <b/>
            <sz val="9"/>
            <color indexed="81"/>
            <rFont val="Tahoma"/>
            <family val="2"/>
          </rPr>
          <t>Iñigo:</t>
        </r>
        <r>
          <rPr>
            <sz val="9"/>
            <color indexed="81"/>
            <rFont val="Tahoma"/>
            <family val="2"/>
          </rPr>
          <t xml:space="preserve">
Lund&amp;Boyer (2015) and own calculations</t>
        </r>
      </text>
    </comment>
    <comment ref="B35" authorId="1" shapeId="0" xr:uid="{00000000-0006-0000-0D00-000015000000}">
      <text>
        <r>
          <rPr>
            <b/>
            <sz val="9"/>
            <color indexed="81"/>
            <rFont val="Tahoma"/>
            <family val="2"/>
          </rPr>
          <t>Iñigo:</t>
        </r>
        <r>
          <rPr>
            <sz val="9"/>
            <color indexed="81"/>
            <rFont val="Tahoma"/>
            <family val="2"/>
          </rPr>
          <t xml:space="preserve">
IEA balances and own estimation</t>
        </r>
      </text>
    </comment>
    <comment ref="B37" authorId="1" shapeId="0" xr:uid="{00000000-0006-0000-0D00-000016000000}">
      <text>
        <r>
          <rPr>
            <b/>
            <sz val="9"/>
            <color indexed="81"/>
            <rFont val="Tahoma"/>
            <family val="2"/>
          </rPr>
          <t>Iñigo:</t>
        </r>
        <r>
          <rPr>
            <sz val="9"/>
            <color indexed="81"/>
            <rFont val="Tahoma"/>
            <family val="2"/>
          </rPr>
          <t xml:space="preserve">
SHC 2016 and own calculations</t>
        </r>
      </text>
    </comment>
    <comment ref="B39" authorId="1" shapeId="0" xr:uid="{00000000-0006-0000-0D00-000017000000}">
      <text>
        <r>
          <rPr>
            <b/>
            <sz val="9"/>
            <color indexed="81"/>
            <rFont val="Tahoma"/>
            <family val="2"/>
          </rPr>
          <t>Iñigo:</t>
        </r>
        <r>
          <rPr>
            <sz val="9"/>
            <color indexed="81"/>
            <rFont val="Tahoma"/>
            <family val="2"/>
          </rPr>
          <t xml:space="preserve">
Lund&amp;Boyer (2015) and own calculations</t>
        </r>
      </text>
    </comment>
    <comment ref="B41" authorId="1" shapeId="0" xr:uid="{00000000-0006-0000-0D00-000018000000}">
      <text>
        <r>
          <rPr>
            <b/>
            <sz val="9"/>
            <color indexed="81"/>
            <rFont val="Tahoma"/>
            <family val="2"/>
          </rPr>
          <t>Iñigo:</t>
        </r>
        <r>
          <rPr>
            <sz val="9"/>
            <color indexed="81"/>
            <rFont val="Tahoma"/>
            <family val="2"/>
          </rPr>
          <t xml:space="preserve">
IEA database</t>
        </r>
      </text>
    </comment>
    <comment ref="B43" authorId="0" shapeId="0" xr:uid="{00000000-0006-0000-0D00-000019000000}">
      <text>
        <r>
          <rPr>
            <b/>
            <sz val="9"/>
            <color indexed="81"/>
            <rFont val="Tahoma"/>
            <family val="2"/>
          </rPr>
          <t xml:space="preserve">IdB: IEA balances
</t>
        </r>
      </text>
    </comment>
    <comment ref="B45" authorId="0" shapeId="0" xr:uid="{00000000-0006-0000-0D00-00001A000000}">
      <text>
        <r>
          <rPr>
            <b/>
            <sz val="9"/>
            <color indexed="81"/>
            <rFont val="Tahoma"/>
            <family val="2"/>
          </rPr>
          <t xml:space="preserve">IdB: IEA
</t>
        </r>
        <r>
          <rPr>
            <sz val="9"/>
            <color indexed="81"/>
            <rFont val="Tahoma"/>
            <family val="2"/>
          </rPr>
          <t xml:space="preserve">
</t>
        </r>
      </text>
    </comment>
    <comment ref="B46" authorId="0" shapeId="0" xr:uid="{00000000-0006-0000-0D00-00001B000000}">
      <text>
        <r>
          <rPr>
            <b/>
            <sz val="9"/>
            <color indexed="81"/>
            <rFont val="Tahoma"/>
            <family val="2"/>
          </rPr>
          <t>IdB: IEA balances</t>
        </r>
        <r>
          <rPr>
            <sz val="9"/>
            <color indexed="81"/>
            <rFont val="Tahoma"/>
            <family val="2"/>
          </rPr>
          <t xml:space="preserve">
</t>
        </r>
      </text>
    </comment>
    <comment ref="B47" authorId="1" shapeId="0" xr:uid="{00000000-0006-0000-0D00-00001C000000}">
      <text>
        <r>
          <rPr>
            <b/>
            <sz val="9"/>
            <color indexed="81"/>
            <rFont val="Tahoma"/>
            <family val="2"/>
          </rPr>
          <t>Iñigo:</t>
        </r>
        <r>
          <rPr>
            <sz val="9"/>
            <color indexed="81"/>
            <rFont val="Tahoma"/>
            <family val="2"/>
          </rPr>
          <t xml:space="preserve">
IEA balances</t>
        </r>
      </text>
    </comment>
    <comment ref="B48" authorId="0" shapeId="0" xr:uid="{00000000-0006-0000-0D00-00001D000000}">
      <text>
        <r>
          <rPr>
            <b/>
            <sz val="9"/>
            <color indexed="81"/>
            <rFont val="Tahoma"/>
            <family val="2"/>
          </rPr>
          <t>IdB: IEA balances</t>
        </r>
        <r>
          <rPr>
            <sz val="9"/>
            <color indexed="81"/>
            <rFont val="Tahoma"/>
            <family val="2"/>
          </rPr>
          <t xml:space="preserve">
</t>
        </r>
      </text>
    </comment>
    <comment ref="B49" authorId="0" shapeId="0" xr:uid="{00000000-0006-0000-0D00-00001E000000}">
      <text>
        <r>
          <rPr>
            <b/>
            <sz val="9"/>
            <color indexed="81"/>
            <rFont val="Tahoma"/>
            <family val="2"/>
          </rPr>
          <t xml:space="preserve">Iñigo: </t>
        </r>
        <r>
          <rPr>
            <sz val="9"/>
            <color indexed="81"/>
            <rFont val="Tahoma"/>
            <family val="2"/>
          </rPr>
          <t>Van de Ven et al (2018, forthcoming).
Data for 2005, 2010 and 2015.</t>
        </r>
      </text>
    </comment>
    <comment ref="B50" authorId="0" shapeId="0" xr:uid="{00000000-0006-0000-0D00-00001F000000}">
      <text>
        <r>
          <rPr>
            <b/>
            <sz val="9"/>
            <color indexed="81"/>
            <rFont val="Tahoma"/>
            <family val="2"/>
          </rPr>
          <t xml:space="preserve">IdB: IEA (2017)
</t>
        </r>
        <r>
          <rPr>
            <sz val="9"/>
            <color indexed="81"/>
            <rFont val="Tahoma"/>
            <family val="2"/>
          </rPr>
          <t xml:space="preserve">
</t>
        </r>
      </text>
    </comment>
    <comment ref="B51" authorId="0" shapeId="0" xr:uid="{00000000-0006-0000-0D00-000020000000}">
      <text>
        <r>
          <rPr>
            <b/>
            <sz val="9"/>
            <color indexed="81"/>
            <rFont val="Tahoma"/>
            <family val="2"/>
          </rPr>
          <t xml:space="preserve">IdB: IAE (2017)
</t>
        </r>
        <r>
          <rPr>
            <sz val="9"/>
            <color indexed="81"/>
            <rFont val="Tahoma"/>
            <family val="2"/>
          </rPr>
          <t xml:space="preserve">
</t>
        </r>
      </text>
    </comment>
    <comment ref="B52" authorId="0" shapeId="0" xr:uid="{00000000-0006-0000-0D00-000021000000}">
      <text>
        <r>
          <rPr>
            <b/>
            <sz val="9"/>
            <color indexed="81"/>
            <rFont val="Tahoma"/>
            <family val="2"/>
          </rPr>
          <t>IdB:IEA(2017)</t>
        </r>
        <r>
          <rPr>
            <sz val="9"/>
            <color indexed="81"/>
            <rFont val="Tahoma"/>
            <family val="2"/>
          </rPr>
          <t xml:space="preserve">
</t>
        </r>
      </text>
    </comment>
    <comment ref="B53" authorId="0" shapeId="0" xr:uid="{00000000-0006-0000-0D00-000022000000}">
      <text>
        <r>
          <rPr>
            <b/>
            <sz val="9"/>
            <color indexed="81"/>
            <rFont val="Tahoma"/>
            <family val="2"/>
          </rPr>
          <t>IdB:IEA(2017)</t>
        </r>
        <r>
          <rPr>
            <sz val="9"/>
            <color indexed="81"/>
            <rFont val="Tahoma"/>
            <family val="2"/>
          </rPr>
          <t xml:space="preserve">
</t>
        </r>
      </text>
    </comment>
    <comment ref="B55" authorId="1" shapeId="0" xr:uid="{00000000-0006-0000-0D00-000023000000}">
      <text>
        <r>
          <rPr>
            <b/>
            <sz val="9"/>
            <color indexed="81"/>
            <rFont val="Tahoma"/>
            <family val="2"/>
          </rPr>
          <t>Iñigo:</t>
        </r>
        <r>
          <rPr>
            <sz val="9"/>
            <color indexed="81"/>
            <rFont val="Tahoma"/>
            <family val="2"/>
          </rPr>
          <t xml:space="preserve">
US EIA, IRENA and own estimation</t>
        </r>
      </text>
    </comment>
    <comment ref="B57" authorId="1" shapeId="0" xr:uid="{00000000-0006-0000-0D00-000024000000}">
      <text>
        <r>
          <rPr>
            <b/>
            <sz val="9"/>
            <color indexed="81"/>
            <rFont val="Tahoma"/>
            <family val="2"/>
          </rPr>
          <t>Iñigo:</t>
        </r>
        <r>
          <rPr>
            <sz val="9"/>
            <color indexed="81"/>
            <rFont val="Tahoma"/>
            <family val="2"/>
          </rPr>
          <t xml:space="preserve">
IRENA and own estimation</t>
        </r>
      </text>
    </comment>
    <comment ref="B59" authorId="1" shapeId="0" xr:uid="{00000000-0006-0000-0D00-000025000000}">
      <text>
        <r>
          <rPr>
            <b/>
            <sz val="9"/>
            <color indexed="81"/>
            <rFont val="Tahoma"/>
            <family val="2"/>
          </rPr>
          <t>Iñigo:</t>
        </r>
        <r>
          <rPr>
            <sz val="9"/>
            <color indexed="81"/>
            <rFont val="Tahoma"/>
            <family val="2"/>
          </rPr>
          <t xml:space="preserve">
IRENA and own estimation</t>
        </r>
      </text>
    </comment>
    <comment ref="B61" authorId="1" shapeId="0" xr:uid="{00000000-0006-0000-0D00-000026000000}">
      <text>
        <r>
          <rPr>
            <b/>
            <sz val="9"/>
            <color indexed="81"/>
            <rFont val="Tahoma"/>
            <family val="2"/>
          </rPr>
          <t>Iñigo:</t>
        </r>
        <r>
          <rPr>
            <sz val="9"/>
            <color indexed="81"/>
            <rFont val="Tahoma"/>
            <family val="2"/>
          </rPr>
          <t xml:space="preserve">
IRENA and own estimation</t>
        </r>
      </text>
    </comment>
    <comment ref="B63" authorId="1" shapeId="0" xr:uid="{00000000-0006-0000-0D00-000027000000}">
      <text>
        <r>
          <rPr>
            <b/>
            <sz val="9"/>
            <color indexed="81"/>
            <rFont val="Tahoma"/>
            <family val="2"/>
          </rPr>
          <t>Iñigo:</t>
        </r>
        <r>
          <rPr>
            <sz val="9"/>
            <color indexed="81"/>
            <rFont val="Tahoma"/>
            <family val="2"/>
          </rPr>
          <t xml:space="preserve">
IRENA and own estimation</t>
        </r>
      </text>
    </comment>
    <comment ref="B65" authorId="1" shapeId="0" xr:uid="{00000000-0006-0000-0D00-000028000000}">
      <text>
        <r>
          <rPr>
            <b/>
            <sz val="9"/>
            <color indexed="81"/>
            <rFont val="Tahoma"/>
            <family val="2"/>
          </rPr>
          <t>Iñigo:</t>
        </r>
        <r>
          <rPr>
            <sz val="9"/>
            <color indexed="81"/>
            <rFont val="Tahoma"/>
            <family val="2"/>
          </rPr>
          <t xml:space="preserve">
IRENA and own estimation</t>
        </r>
      </text>
    </comment>
    <comment ref="B67" authorId="1" shapeId="0" xr:uid="{00000000-0006-0000-0D00-000029000000}">
      <text>
        <r>
          <rPr>
            <b/>
            <sz val="9"/>
            <color indexed="81"/>
            <rFont val="Tahoma"/>
            <family val="2"/>
          </rPr>
          <t>Iñigo:</t>
        </r>
        <r>
          <rPr>
            <sz val="9"/>
            <color indexed="81"/>
            <rFont val="Tahoma"/>
            <family val="2"/>
          </rPr>
          <t xml:space="preserve">
IRENA and own estimation</t>
        </r>
      </text>
    </comment>
    <comment ref="B69" authorId="1" shapeId="0" xr:uid="{00000000-0006-0000-0D00-00002A000000}">
      <text>
        <r>
          <rPr>
            <b/>
            <sz val="9"/>
            <color indexed="81"/>
            <rFont val="Tahoma"/>
            <family val="2"/>
          </rPr>
          <t>Iñigo:</t>
        </r>
        <r>
          <rPr>
            <sz val="9"/>
            <color indexed="81"/>
            <rFont val="Tahoma"/>
            <family val="2"/>
          </rPr>
          <t xml:space="preserve">
Own elaboration based on SolarPACES data
https://www.nrel.gov/csp/solarpaces/ </t>
        </r>
      </text>
    </comment>
    <comment ref="B73" authorId="0" shapeId="0" xr:uid="{00000000-0006-0000-0D00-00002B000000}">
      <text>
        <r>
          <rPr>
            <b/>
            <sz val="9"/>
            <color indexed="81"/>
            <rFont val="Tahoma"/>
            <family val="2"/>
          </rPr>
          <t>IdB: IEA balances</t>
        </r>
        <r>
          <rPr>
            <sz val="9"/>
            <color indexed="81"/>
            <rFont val="Tahoma"/>
            <family val="2"/>
          </rPr>
          <t xml:space="preserve">
</t>
        </r>
      </text>
    </comment>
    <comment ref="B75" authorId="0" shapeId="0" xr:uid="{00000000-0006-0000-0D00-00002C000000}">
      <text>
        <r>
          <rPr>
            <b/>
            <sz val="9"/>
            <color indexed="81"/>
            <rFont val="Tahoma"/>
            <family val="2"/>
          </rPr>
          <t>IdB:</t>
        </r>
        <r>
          <rPr>
            <sz val="9"/>
            <color indexed="81"/>
            <rFont val="Tahoma"/>
            <family val="2"/>
          </rPr>
          <t xml:space="preserve">
 IEA balances</t>
        </r>
      </text>
    </comment>
    <comment ref="B77" authorId="0" shapeId="0" xr:uid="{00000000-0006-0000-0D00-00002D000000}">
      <text>
        <r>
          <rPr>
            <b/>
            <sz val="9"/>
            <color indexed="81"/>
            <rFont val="Tahoma"/>
            <family val="2"/>
          </rPr>
          <t>IdB:  IEA balances</t>
        </r>
        <r>
          <rPr>
            <sz val="9"/>
            <color indexed="81"/>
            <rFont val="Tahoma"/>
            <family val="2"/>
          </rPr>
          <t xml:space="preserve">
</t>
        </r>
      </text>
    </comment>
    <comment ref="B79" authorId="0" shapeId="0" xr:uid="{00000000-0006-0000-0D00-00002E000000}">
      <text>
        <r>
          <rPr>
            <b/>
            <sz val="9"/>
            <color indexed="81"/>
            <rFont val="Tahoma"/>
            <family val="2"/>
          </rPr>
          <t>IdB:  IEA balances</t>
        </r>
        <r>
          <rPr>
            <sz val="9"/>
            <color indexed="81"/>
            <rFont val="Tahoma"/>
            <family val="2"/>
          </rPr>
          <t xml:space="preserve">
</t>
        </r>
      </text>
    </comment>
    <comment ref="B87" authorId="0" shapeId="0" xr:uid="{00000000-0006-0000-0D00-00002F000000}">
      <text>
        <r>
          <rPr>
            <b/>
            <sz val="9"/>
            <color indexed="81"/>
            <rFont val="Tahoma"/>
            <family val="2"/>
          </rPr>
          <t>IdB:  IEA balances</t>
        </r>
        <r>
          <rPr>
            <sz val="9"/>
            <color indexed="81"/>
            <rFont val="Tahoma"/>
            <family val="2"/>
          </rPr>
          <t xml:space="preserve">
</t>
        </r>
      </text>
    </comment>
    <comment ref="B91" authorId="0" shapeId="0" xr:uid="{00000000-0006-0000-0D00-000030000000}">
      <text>
        <r>
          <rPr>
            <b/>
            <sz val="9"/>
            <color indexed="81"/>
            <rFont val="Tahoma"/>
            <family val="2"/>
          </rPr>
          <t>IdB:  IEA balances</t>
        </r>
        <r>
          <rPr>
            <sz val="9"/>
            <color indexed="81"/>
            <rFont val="Tahoma"/>
            <family val="2"/>
          </rPr>
          <t xml:space="preserve">
</t>
        </r>
      </text>
    </comment>
    <comment ref="B92" authorId="0" shapeId="0" xr:uid="{00000000-0006-0000-0D00-000031000000}">
      <text>
        <r>
          <rPr>
            <b/>
            <sz val="9"/>
            <color indexed="81"/>
            <rFont val="Tahoma"/>
            <family val="2"/>
          </rPr>
          <t>IdB:  IEA balances</t>
        </r>
        <r>
          <rPr>
            <sz val="9"/>
            <color indexed="81"/>
            <rFont val="Tahoma"/>
            <family val="2"/>
          </rPr>
          <t xml:space="preserve">
</t>
        </r>
      </text>
    </comment>
    <comment ref="B93" authorId="0" shapeId="0" xr:uid="{00000000-0006-0000-0D00-000032000000}">
      <text>
        <r>
          <rPr>
            <b/>
            <sz val="9"/>
            <color indexed="81"/>
            <rFont val="Tahoma"/>
            <family val="2"/>
          </rPr>
          <t>IdB:  IEA balances</t>
        </r>
        <r>
          <rPr>
            <sz val="9"/>
            <color indexed="81"/>
            <rFont val="Tahoma"/>
            <family val="2"/>
          </rPr>
          <t xml:space="preserve">
</t>
        </r>
      </text>
    </comment>
    <comment ref="B94" authorId="0" shapeId="0" xr:uid="{00000000-0006-0000-0D00-000033000000}">
      <text>
        <r>
          <rPr>
            <b/>
            <sz val="9"/>
            <color indexed="81"/>
            <rFont val="Tahoma"/>
            <family val="2"/>
          </rPr>
          <t>IdB:  IEA balances</t>
        </r>
        <r>
          <rPr>
            <sz val="9"/>
            <color indexed="81"/>
            <rFont val="Tahoma"/>
            <family val="2"/>
          </rPr>
          <t xml:space="preserve">
 </t>
        </r>
      </text>
    </comment>
    <comment ref="B95" authorId="0" shapeId="0" xr:uid="{00000000-0006-0000-0D00-000034000000}">
      <text>
        <r>
          <rPr>
            <b/>
            <sz val="9"/>
            <color indexed="81"/>
            <rFont val="Tahoma"/>
            <family val="2"/>
          </rPr>
          <t>IdB:  IEA balances</t>
        </r>
        <r>
          <rPr>
            <sz val="9"/>
            <color indexed="81"/>
            <rFont val="Tahoma"/>
            <family val="2"/>
          </rPr>
          <t xml:space="preserve">
</t>
        </r>
      </text>
    </comment>
    <comment ref="B96" authorId="0" shapeId="0" xr:uid="{00000000-0006-0000-0D00-000035000000}">
      <text>
        <r>
          <rPr>
            <b/>
            <sz val="9"/>
            <color indexed="81"/>
            <rFont val="Tahoma"/>
            <family val="2"/>
          </rPr>
          <t>IdB:  IEA balances</t>
        </r>
        <r>
          <rPr>
            <sz val="9"/>
            <color indexed="81"/>
            <rFont val="Tahoma"/>
            <family val="2"/>
          </rPr>
          <t xml:space="preserve">
</t>
        </r>
      </text>
    </comment>
    <comment ref="B97" authorId="0" shapeId="0" xr:uid="{00000000-0006-0000-0D00-000036000000}">
      <text>
        <r>
          <rPr>
            <b/>
            <sz val="9"/>
            <color indexed="81"/>
            <rFont val="Tahoma"/>
            <family val="2"/>
          </rPr>
          <t>IdB:  IEA balances</t>
        </r>
        <r>
          <rPr>
            <sz val="9"/>
            <color indexed="81"/>
            <rFont val="Tahoma"/>
            <family val="2"/>
          </rPr>
          <t xml:space="preserve">
</t>
        </r>
      </text>
    </comment>
    <comment ref="B98" authorId="0" shapeId="0" xr:uid="{00000000-0006-0000-0D00-000037000000}">
      <text>
        <r>
          <rPr>
            <b/>
            <sz val="9"/>
            <color indexed="81"/>
            <rFont val="Tahoma"/>
            <family val="2"/>
          </rPr>
          <t>IdB:  IEA balances</t>
        </r>
        <r>
          <rPr>
            <sz val="9"/>
            <color indexed="81"/>
            <rFont val="Tahoma"/>
            <family val="2"/>
          </rPr>
          <t xml:space="preserve">
</t>
        </r>
      </text>
    </comment>
    <comment ref="B99" authorId="0" shapeId="0" xr:uid="{00000000-0006-0000-0D00-000038000000}">
      <text>
        <r>
          <rPr>
            <b/>
            <sz val="9"/>
            <color indexed="81"/>
            <rFont val="Tahoma"/>
            <family val="2"/>
          </rPr>
          <t>IdB:  IEA balances</t>
        </r>
        <r>
          <rPr>
            <sz val="9"/>
            <color indexed="81"/>
            <rFont val="Tahoma"/>
            <family val="2"/>
          </rPr>
          <t xml:space="preserve">
</t>
        </r>
      </text>
    </comment>
    <comment ref="B100" authorId="0" shapeId="0" xr:uid="{00000000-0006-0000-0D00-000039000000}">
      <text>
        <r>
          <rPr>
            <b/>
            <sz val="9"/>
            <color indexed="81"/>
            <rFont val="Tahoma"/>
            <family val="2"/>
          </rPr>
          <t>IdB:  IEA balances</t>
        </r>
        <r>
          <rPr>
            <sz val="9"/>
            <color indexed="81"/>
            <rFont val="Tahoma"/>
            <family val="2"/>
          </rPr>
          <t xml:space="preserve">
</t>
        </r>
      </text>
    </comment>
    <comment ref="B101" authorId="0" shapeId="0" xr:uid="{00000000-0006-0000-0D00-00003A000000}">
      <text>
        <r>
          <rPr>
            <b/>
            <sz val="9"/>
            <color indexed="81"/>
            <rFont val="Tahoma"/>
            <family val="2"/>
          </rPr>
          <t>IdB:  IEA balances</t>
        </r>
        <r>
          <rPr>
            <sz val="9"/>
            <color indexed="81"/>
            <rFont val="Tahoma"/>
            <family val="2"/>
          </rPr>
          <t xml:space="preserve">
</t>
        </r>
      </text>
    </comment>
    <comment ref="B136" authorId="1" shapeId="0" xr:uid="{00000000-0006-0000-0D00-00003B000000}">
      <text>
        <r>
          <rPr>
            <b/>
            <sz val="9"/>
            <color indexed="81"/>
            <rFont val="Tahoma"/>
            <family val="2"/>
          </rPr>
          <t>Iñigo:</t>
        </r>
        <r>
          <rPr>
            <sz val="9"/>
            <color indexed="81"/>
            <rFont val="Tahoma"/>
            <family val="2"/>
          </rPr>
          <t xml:space="preserve">
BP 2016</t>
        </r>
      </text>
    </comment>
    <comment ref="B139" authorId="1" shapeId="0" xr:uid="{00000000-0006-0000-0D00-00003C000000}">
      <text>
        <r>
          <rPr>
            <b/>
            <sz val="9"/>
            <color indexed="81"/>
            <rFont val="Tahoma"/>
            <family val="2"/>
          </rPr>
          <t>Iñigo:</t>
        </r>
        <r>
          <rPr>
            <sz val="9"/>
            <color indexed="81"/>
            <rFont val="Tahoma"/>
            <family val="2"/>
          </rPr>
          <t xml:space="preserve">
US EIA, IRENA and own estimation</t>
        </r>
      </text>
    </comment>
    <comment ref="B140" authorId="1" shapeId="0" xr:uid="{00000000-0006-0000-0D00-00003D000000}">
      <text>
        <r>
          <rPr>
            <b/>
            <sz val="9"/>
            <color indexed="81"/>
            <rFont val="Tahoma"/>
            <family val="2"/>
          </rPr>
          <t>Iñigo:</t>
        </r>
        <r>
          <rPr>
            <sz val="9"/>
            <color indexed="81"/>
            <rFont val="Tahoma"/>
            <family val="2"/>
          </rPr>
          <t xml:space="preserve">
IRENA</t>
        </r>
      </text>
    </comment>
    <comment ref="B141" authorId="1" shapeId="0" xr:uid="{00000000-0006-0000-0D00-00003E000000}">
      <text>
        <r>
          <rPr>
            <b/>
            <sz val="9"/>
            <color indexed="81"/>
            <rFont val="Tahoma"/>
            <family val="2"/>
          </rPr>
          <t>Iñigo:</t>
        </r>
        <r>
          <rPr>
            <sz val="9"/>
            <color indexed="81"/>
            <rFont val="Tahoma"/>
            <family val="2"/>
          </rPr>
          <t xml:space="preserve">
IRENA</t>
        </r>
      </text>
    </comment>
    <comment ref="B142" authorId="1" shapeId="0" xr:uid="{00000000-0006-0000-0D00-00003F000000}">
      <text>
        <r>
          <rPr>
            <b/>
            <sz val="9"/>
            <color indexed="81"/>
            <rFont val="Tahoma"/>
            <family val="2"/>
          </rPr>
          <t>Iñigo:</t>
        </r>
        <r>
          <rPr>
            <sz val="9"/>
            <color indexed="81"/>
            <rFont val="Tahoma"/>
            <family val="2"/>
          </rPr>
          <t xml:space="preserve">
IRENA</t>
        </r>
      </text>
    </comment>
    <comment ref="B143" authorId="1" shapeId="0" xr:uid="{00000000-0006-0000-0D00-000040000000}">
      <text>
        <r>
          <rPr>
            <b/>
            <sz val="9"/>
            <color indexed="81"/>
            <rFont val="Tahoma"/>
            <family val="2"/>
          </rPr>
          <t>Iñigo:</t>
        </r>
        <r>
          <rPr>
            <sz val="9"/>
            <color indexed="81"/>
            <rFont val="Tahoma"/>
            <family val="2"/>
          </rPr>
          <t xml:space="preserve">
IRENA</t>
        </r>
      </text>
    </comment>
    <comment ref="B144" authorId="1" shapeId="0" xr:uid="{00000000-0006-0000-0D00-000041000000}">
      <text>
        <r>
          <rPr>
            <b/>
            <sz val="9"/>
            <color indexed="81"/>
            <rFont val="Tahoma"/>
            <family val="2"/>
          </rPr>
          <t>Iñigo:</t>
        </r>
        <r>
          <rPr>
            <sz val="9"/>
            <color indexed="81"/>
            <rFont val="Tahoma"/>
            <family val="2"/>
          </rPr>
          <t xml:space="preserve">
IRENA</t>
        </r>
      </text>
    </comment>
    <comment ref="B145" authorId="1" shapeId="0" xr:uid="{00000000-0006-0000-0D00-000042000000}">
      <text>
        <r>
          <rPr>
            <b/>
            <sz val="9"/>
            <color indexed="81"/>
            <rFont val="Tahoma"/>
            <family val="2"/>
          </rPr>
          <t>Iñigo:</t>
        </r>
        <r>
          <rPr>
            <sz val="9"/>
            <color indexed="81"/>
            <rFont val="Tahoma"/>
            <family val="2"/>
          </rPr>
          <t xml:space="preserve">
IRENA</t>
        </r>
      </text>
    </comment>
    <comment ref="B146" authorId="1" shapeId="0" xr:uid="{00000000-0006-0000-0D00-000043000000}">
      <text>
        <r>
          <rPr>
            <b/>
            <sz val="9"/>
            <color indexed="81"/>
            <rFont val="Tahoma"/>
            <family val="2"/>
          </rPr>
          <t>Iñigo:</t>
        </r>
        <r>
          <rPr>
            <sz val="9"/>
            <color indexed="81"/>
            <rFont val="Tahoma"/>
            <family val="2"/>
          </rPr>
          <t xml:space="preserve">
IRENA</t>
        </r>
      </text>
    </comment>
    <comment ref="B147" authorId="1" shapeId="0" xr:uid="{00000000-0006-0000-0D00-000044000000}">
      <text>
        <r>
          <rPr>
            <b/>
            <sz val="9"/>
            <color indexed="81"/>
            <rFont val="Tahoma"/>
            <family val="2"/>
          </rPr>
          <t>Iñigo:</t>
        </r>
        <r>
          <rPr>
            <sz val="9"/>
            <color indexed="81"/>
            <rFont val="Tahoma"/>
            <family val="2"/>
          </rPr>
          <t xml:space="preserve">
Own elaboration based on SolarPACES data
https://www.nrel.gov/csp/solarpaces/</t>
        </r>
      </text>
    </comment>
    <comment ref="B148" authorId="0" shapeId="0" xr:uid="{00000000-0006-0000-0D00-000045000000}">
      <text>
        <r>
          <rPr>
            <b/>
            <sz val="9"/>
            <color indexed="81"/>
            <rFont val="Tahoma"/>
            <family val="2"/>
          </rPr>
          <t xml:space="preserve">IdB: Mohr et al. 2015
</t>
        </r>
        <r>
          <rPr>
            <sz val="9"/>
            <color indexed="81"/>
            <rFont val="Tahoma"/>
            <family val="2"/>
          </rPr>
          <t xml:space="preserve">
</t>
        </r>
      </text>
    </comment>
    <comment ref="B149" authorId="0" shapeId="0" xr:uid="{00000000-0006-0000-0D00-000046000000}">
      <text>
        <r>
          <rPr>
            <b/>
            <sz val="9"/>
            <color indexed="81"/>
            <rFont val="Tahoma"/>
            <family val="2"/>
          </rPr>
          <t xml:space="preserve">IdB: Mohr et al. 2015
</t>
        </r>
        <r>
          <rPr>
            <sz val="9"/>
            <color indexed="81"/>
            <rFont val="Tahoma"/>
            <family val="2"/>
          </rPr>
          <t xml:space="preserve">
</t>
        </r>
      </text>
    </comment>
    <comment ref="B150" authorId="0" shapeId="0" xr:uid="{00000000-0006-0000-0D00-000047000000}">
      <text>
        <r>
          <rPr>
            <b/>
            <sz val="9"/>
            <color indexed="81"/>
            <rFont val="Tahoma"/>
            <family val="2"/>
          </rPr>
          <t xml:space="preserve">IdB: Mohr et al. 2015
</t>
        </r>
        <r>
          <rPr>
            <sz val="9"/>
            <color indexed="81"/>
            <rFont val="Tahoma"/>
            <family val="2"/>
          </rPr>
          <t xml:space="preserve">
</t>
        </r>
      </text>
    </comment>
    <comment ref="B151" authorId="0" shapeId="0" xr:uid="{00000000-0006-0000-0D00-000048000000}">
      <text>
        <r>
          <rPr>
            <b/>
            <sz val="9"/>
            <color indexed="81"/>
            <rFont val="Tahoma"/>
            <family val="2"/>
          </rPr>
          <t xml:space="preserve">IdB: Mohr et al. 2015
</t>
        </r>
        <r>
          <rPr>
            <sz val="9"/>
            <color indexed="81"/>
            <rFont val="Tahoma"/>
            <family val="2"/>
          </rPr>
          <t xml:space="preserve">
</t>
        </r>
      </text>
    </comment>
    <comment ref="B152" authorId="0" shapeId="0" xr:uid="{00000000-0006-0000-0D00-000049000000}">
      <text>
        <r>
          <rPr>
            <b/>
            <sz val="9"/>
            <color indexed="81"/>
            <rFont val="Tahoma"/>
            <family val="2"/>
          </rPr>
          <t>IdB: Mohr et al. 2015</t>
        </r>
        <r>
          <rPr>
            <sz val="9"/>
            <color indexed="81"/>
            <rFont val="Tahoma"/>
            <family val="2"/>
          </rPr>
          <t xml:space="preserve">
</t>
        </r>
      </text>
    </comment>
    <comment ref="B153" authorId="0" shapeId="0" xr:uid="{00000000-0006-0000-0D00-00004A000000}">
      <text>
        <r>
          <rPr>
            <b/>
            <sz val="9"/>
            <color indexed="81"/>
            <rFont val="Tahoma"/>
            <family val="2"/>
          </rPr>
          <t>IdB: (EWG 2006)</t>
        </r>
        <r>
          <rPr>
            <sz val="9"/>
            <color indexed="81"/>
            <rFont val="Tahoma"/>
            <family val="2"/>
          </rPr>
          <t xml:space="preserve">
</t>
        </r>
      </text>
    </comment>
    <comment ref="B154" authorId="1" shapeId="0" xr:uid="{00000000-0006-0000-0D00-00004B000000}">
      <text>
        <r>
          <rPr>
            <b/>
            <sz val="9"/>
            <color indexed="81"/>
            <rFont val="Tahoma"/>
            <family val="2"/>
          </rPr>
          <t>Iñigo:</t>
        </r>
        <r>
          <rPr>
            <sz val="9"/>
            <color indexed="81"/>
            <rFont val="Tahoma"/>
            <family val="2"/>
          </rPr>
          <t xml:space="preserve">
Own estimations from IEA balances and SHC (2016)</t>
        </r>
      </text>
    </comment>
    <comment ref="B155" authorId="1" shapeId="0" xr:uid="{00000000-0006-0000-0D00-00004C000000}">
      <text>
        <r>
          <rPr>
            <b/>
            <sz val="9"/>
            <color indexed="81"/>
            <rFont val="Tahoma"/>
            <family val="2"/>
          </rPr>
          <t>Iñigo:</t>
        </r>
        <r>
          <rPr>
            <sz val="9"/>
            <color indexed="81"/>
            <rFont val="Tahoma"/>
            <family val="2"/>
          </rPr>
          <t xml:space="preserve">
own estimations from IEA balances and Lund&amp;Boyd (2015)</t>
        </r>
      </text>
    </comment>
    <comment ref="B156" authorId="1" shapeId="0" xr:uid="{00000000-0006-0000-0D00-00004D000000}">
      <text>
        <r>
          <rPr>
            <b/>
            <sz val="9"/>
            <color indexed="81"/>
            <rFont val="Tahoma"/>
            <family val="2"/>
          </rPr>
          <t>Iñigo:</t>
        </r>
        <r>
          <rPr>
            <sz val="9"/>
            <color indexed="81"/>
            <rFont val="Tahoma"/>
            <family val="2"/>
          </rPr>
          <t xml:space="preserve">
IEA balances and own estimation</t>
        </r>
      </text>
    </comment>
    <comment ref="B157" authorId="1" shapeId="0" xr:uid="{00000000-0006-0000-0D00-00004E000000}">
      <text>
        <r>
          <rPr>
            <b/>
            <sz val="9"/>
            <color indexed="81"/>
            <rFont val="Tahoma"/>
            <family val="2"/>
          </rPr>
          <t>Iñigo:</t>
        </r>
        <r>
          <rPr>
            <sz val="9"/>
            <color indexed="81"/>
            <rFont val="Tahoma"/>
            <family val="2"/>
          </rPr>
          <t xml:space="preserve">
IEA Balances and own calculations</t>
        </r>
      </text>
    </comment>
    <comment ref="B158" authorId="1" shapeId="0" xr:uid="{00000000-0006-0000-0D00-00004F000000}">
      <text>
        <r>
          <rPr>
            <b/>
            <sz val="9"/>
            <color indexed="81"/>
            <rFont val="Tahoma"/>
            <family val="2"/>
          </rPr>
          <t>Iñigo:</t>
        </r>
        <r>
          <rPr>
            <sz val="9"/>
            <color indexed="81"/>
            <rFont val="Tahoma"/>
            <family val="2"/>
          </rPr>
          <t xml:space="preserve">
SHC 2016 and own estimations
</t>
        </r>
      </text>
    </comment>
    <comment ref="B159" authorId="1" shapeId="0" xr:uid="{00000000-0006-0000-0D00-000050000000}">
      <text>
        <r>
          <rPr>
            <b/>
            <sz val="9"/>
            <color indexed="81"/>
            <rFont val="Tahoma"/>
            <family val="2"/>
          </rPr>
          <t>Iñigo:</t>
        </r>
        <r>
          <rPr>
            <sz val="9"/>
            <color indexed="81"/>
            <rFont val="Tahoma"/>
            <family val="2"/>
          </rPr>
          <t xml:space="preserve">
Lund &amp; Boyer (2015) and own estimations
</t>
        </r>
      </text>
    </comment>
    <comment ref="B161" authorId="0" shapeId="0" xr:uid="{00000000-0006-0000-0D00-000051000000}">
      <text>
        <r>
          <rPr>
            <b/>
            <sz val="9"/>
            <color indexed="81"/>
            <rFont val="Tahoma"/>
            <family val="2"/>
          </rPr>
          <t>IdB:  Data from CDIAC and World Resources Institute</t>
        </r>
        <r>
          <rPr>
            <sz val="9"/>
            <color indexed="81"/>
            <rFont val="Tahoma"/>
            <family val="2"/>
          </rPr>
          <t xml:space="preserve">
</t>
        </r>
      </text>
    </comment>
    <comment ref="B162" authorId="1" shapeId="0" xr:uid="{00000000-0006-0000-0D00-000052000000}">
      <text>
        <r>
          <rPr>
            <b/>
            <sz val="9"/>
            <color indexed="81"/>
            <rFont val="Tahoma"/>
            <family val="2"/>
          </rPr>
          <t>Iñigo:</t>
        </r>
        <r>
          <rPr>
            <sz val="9"/>
            <color indexed="81"/>
            <rFont val="Tahoma"/>
            <family val="2"/>
          </rPr>
          <t xml:space="preserve">
own estiamation from IEA balances</t>
        </r>
      </text>
    </comment>
    <comment ref="B168" authorId="0" shapeId="0" xr:uid="{00000000-0006-0000-0D00-000053000000}">
      <text>
        <r>
          <rPr>
            <b/>
            <sz val="9"/>
            <color indexed="81"/>
            <rFont val="Tahoma"/>
            <family val="2"/>
          </rPr>
          <t>IdB: Maggio12. URR (paper) y max extraction (own elaboration from paper)</t>
        </r>
      </text>
    </comment>
    <comment ref="B171" authorId="0" shapeId="0" xr:uid="{00000000-0006-0000-0D00-000054000000}">
      <text>
        <r>
          <rPr>
            <b/>
            <sz val="9"/>
            <color indexed="81"/>
            <rFont val="Tahoma"/>
            <family val="2"/>
          </rPr>
          <t>IdB: Maggio12 URR (paper) y max extraction (own elaboration from paper)</t>
        </r>
        <r>
          <rPr>
            <sz val="9"/>
            <color indexed="81"/>
            <rFont val="Tahoma"/>
            <family val="2"/>
          </rPr>
          <t xml:space="preserve">
</t>
        </r>
      </text>
    </comment>
    <comment ref="B174" authorId="0" shapeId="0" xr:uid="{00000000-0006-0000-0D00-000055000000}">
      <text>
        <r>
          <rPr>
            <b/>
            <sz val="9"/>
            <color indexed="81"/>
            <rFont val="Tahoma"/>
            <family val="2"/>
          </rPr>
          <t>IdB: Maggio12 URR (paper) y max extraction (own elaboration from paper)</t>
        </r>
        <r>
          <rPr>
            <sz val="9"/>
            <color indexed="81"/>
            <rFont val="Tahoma"/>
            <family val="2"/>
          </rPr>
          <t xml:space="preserve">
</t>
        </r>
      </text>
    </comment>
    <comment ref="B177" authorId="0" shapeId="0" xr:uid="{00000000-0006-0000-0D00-000056000000}">
      <text>
        <r>
          <rPr>
            <b/>
            <sz val="9"/>
            <color indexed="81"/>
            <rFont val="Tahoma"/>
            <family val="2"/>
          </rPr>
          <t>IdB: Mohr et al, 15 URR (paper) y max extraction (own elaboration from paper)</t>
        </r>
        <r>
          <rPr>
            <sz val="9"/>
            <color indexed="81"/>
            <rFont val="Tahoma"/>
            <family val="2"/>
          </rPr>
          <t xml:space="preserve">
</t>
        </r>
      </text>
    </comment>
    <comment ref="B180" authorId="0" shapeId="0" xr:uid="{00000000-0006-0000-0D00-000057000000}">
      <text>
        <r>
          <rPr>
            <b/>
            <sz val="9"/>
            <color indexed="81"/>
            <rFont val="Tahoma"/>
            <family val="2"/>
          </rPr>
          <t>IdB: Mohr et al, 15 URR (paper) y max extraction (own elaboration from paper)</t>
        </r>
        <r>
          <rPr>
            <sz val="9"/>
            <color indexed="81"/>
            <rFont val="Tahoma"/>
            <family val="2"/>
          </rPr>
          <t xml:space="preserve">
</t>
        </r>
      </text>
    </comment>
    <comment ref="B183" authorId="0" shapeId="0" xr:uid="{00000000-0006-0000-0D00-000058000000}">
      <text>
        <r>
          <rPr>
            <b/>
            <sz val="9"/>
            <color indexed="81"/>
            <rFont val="Tahoma"/>
            <family val="2"/>
          </rPr>
          <t>IdB: Mohr et al 15 URR (paper) y max extraction (own elaboration from paper)</t>
        </r>
        <r>
          <rPr>
            <sz val="9"/>
            <color indexed="81"/>
            <rFont val="Tahoma"/>
            <family val="2"/>
          </rPr>
          <t xml:space="preserve">
</t>
        </r>
      </text>
    </comment>
    <comment ref="B186" authorId="0" shapeId="0" xr:uid="{00000000-0006-0000-0D00-000059000000}">
      <text>
        <r>
          <rPr>
            <b/>
            <sz val="9"/>
            <color indexed="81"/>
            <rFont val="Tahoma"/>
            <family val="2"/>
          </rPr>
          <t>IdB: Laherrere 2006 URR (paper) y max extraction (own elaboration from paper)</t>
        </r>
        <r>
          <rPr>
            <sz val="9"/>
            <color indexed="81"/>
            <rFont val="Tahoma"/>
            <family val="2"/>
          </rPr>
          <t xml:space="preserve">
</t>
        </r>
      </text>
    </comment>
    <comment ref="B187" authorId="0" shapeId="0" xr:uid="{00000000-0006-0000-0D00-00005A000000}">
      <text>
        <r>
          <rPr>
            <b/>
            <sz val="9"/>
            <color indexed="81"/>
            <rFont val="Tahoma"/>
            <family val="2"/>
          </rPr>
          <t>IdB: Laherrere 2006 URR (paper) y max extraction (own elaboration from paper)</t>
        </r>
        <r>
          <rPr>
            <sz val="9"/>
            <color indexed="81"/>
            <rFont val="Tahoma"/>
            <family val="2"/>
          </rPr>
          <t xml:space="preserve">
</t>
        </r>
      </text>
    </comment>
    <comment ref="B190" authorId="1" shapeId="0" xr:uid="{00000000-0006-0000-0D00-00005B000000}">
      <text>
        <r>
          <rPr>
            <b/>
            <sz val="9"/>
            <color indexed="81"/>
            <rFont val="Tahoma"/>
            <family val="2"/>
          </rPr>
          <t>Iñigo:</t>
        </r>
        <r>
          <rPr>
            <sz val="9"/>
            <color indexed="81"/>
            <rFont val="Tahoma"/>
            <family val="2"/>
          </rPr>
          <t xml:space="preserve">
Laherrère (2018), personal communication
</t>
        </r>
      </text>
    </comment>
    <comment ref="B193" authorId="1" shapeId="0" xr:uid="{00000000-0006-0000-0D00-00005C000000}">
      <text>
        <r>
          <rPr>
            <b/>
            <sz val="9"/>
            <color indexed="81"/>
            <rFont val="Tahoma"/>
            <family val="2"/>
          </rPr>
          <t>Iñigo:</t>
        </r>
        <r>
          <rPr>
            <sz val="9"/>
            <color indexed="81"/>
            <rFont val="Tahoma"/>
            <family val="2"/>
          </rPr>
          <t xml:space="preserve">
Laherrère (2018), personal communication
</t>
        </r>
      </text>
    </comment>
    <comment ref="B196" authorId="1" shapeId="0" xr:uid="{00000000-0006-0000-0D00-00005D000000}">
      <text>
        <r>
          <rPr>
            <b/>
            <sz val="9"/>
            <color indexed="81"/>
            <rFont val="Tahoma"/>
            <family val="2"/>
          </rPr>
          <t>Iñigo:</t>
        </r>
        <r>
          <rPr>
            <sz val="9"/>
            <color indexed="81"/>
            <rFont val="Tahoma"/>
            <family val="2"/>
          </rPr>
          <t xml:space="preserve">
Laherrère (2018), personal communication
</t>
        </r>
      </text>
    </comment>
    <comment ref="B197" authorId="1" shapeId="0" xr:uid="{00000000-0006-0000-0D00-00005E000000}">
      <text>
        <r>
          <rPr>
            <b/>
            <sz val="9"/>
            <color indexed="81"/>
            <rFont val="Tahoma"/>
            <family val="2"/>
          </rPr>
          <t>Iñigo:</t>
        </r>
        <r>
          <rPr>
            <sz val="9"/>
            <color indexed="81"/>
            <rFont val="Tahoma"/>
            <family val="2"/>
          </rPr>
          <t xml:space="preserve">
Laherrère (2018), personal communication
</t>
        </r>
      </text>
    </comment>
    <comment ref="C197" authorId="1" shapeId="0" xr:uid="{00000000-0006-0000-0D00-00005F000000}">
      <text>
        <r>
          <rPr>
            <b/>
            <sz val="9"/>
            <color indexed="81"/>
            <rFont val="Tahoma"/>
            <family val="2"/>
          </rPr>
          <t>Iñigo:</t>
        </r>
        <r>
          <rPr>
            <sz val="9"/>
            <color indexed="81"/>
            <rFont val="Tahoma"/>
            <family val="2"/>
          </rPr>
          <t xml:space="preserve">
Laherrère (2018)
</t>
        </r>
      </text>
    </comment>
    <comment ref="B201" authorId="0" shapeId="0" xr:uid="{00000000-0006-0000-0D00-000060000000}">
      <text>
        <r>
          <rPr>
            <b/>
            <sz val="9"/>
            <color indexed="81"/>
            <rFont val="Tahoma"/>
            <family val="2"/>
          </rPr>
          <t>IdB: Mohr et al., 2015 URR (paper) y max extraction (own elaboration from paper)</t>
        </r>
        <r>
          <rPr>
            <sz val="9"/>
            <color indexed="81"/>
            <rFont val="Tahoma"/>
            <family val="2"/>
          </rPr>
          <t xml:space="preserve">
</t>
        </r>
      </text>
    </comment>
    <comment ref="B204" authorId="0" shapeId="0" xr:uid="{00000000-0006-0000-0D00-000061000000}">
      <text>
        <r>
          <rPr>
            <b/>
            <sz val="9"/>
            <color indexed="81"/>
            <rFont val="Tahoma"/>
            <family val="2"/>
          </rPr>
          <t>IdB: Mohr et al., 2015 URR (paper) y max extraction (own elaboration from paper)</t>
        </r>
        <r>
          <rPr>
            <sz val="9"/>
            <color indexed="81"/>
            <rFont val="Tahoma"/>
            <family val="2"/>
          </rPr>
          <t xml:space="preserve">
 </t>
        </r>
      </text>
    </comment>
    <comment ref="B207" authorId="0" shapeId="0" xr:uid="{00000000-0006-0000-0D00-000062000000}">
      <text>
        <r>
          <rPr>
            <b/>
            <sz val="9"/>
            <color indexed="81"/>
            <rFont val="Tahoma"/>
            <family val="2"/>
          </rPr>
          <t>IdB: Mohr et al., 2015 URR (paper) y max extraction (own elaboration from paper)</t>
        </r>
        <r>
          <rPr>
            <sz val="9"/>
            <color indexed="81"/>
            <rFont val="Tahoma"/>
            <family val="2"/>
          </rPr>
          <t xml:space="preserve">
</t>
        </r>
      </text>
    </comment>
    <comment ref="B210" authorId="0" shapeId="0" xr:uid="{00000000-0006-0000-0D00-000063000000}">
      <text>
        <r>
          <rPr>
            <b/>
            <sz val="9"/>
            <color indexed="81"/>
            <rFont val="Tahoma"/>
            <family val="2"/>
          </rPr>
          <t>IdB: Mohr et al., 2015 URR (paper) y max extraction (own elaboration from paper)</t>
        </r>
        <r>
          <rPr>
            <sz val="9"/>
            <color indexed="81"/>
            <rFont val="Tahoma"/>
            <family val="2"/>
          </rPr>
          <t xml:space="preserve">
</t>
        </r>
      </text>
    </comment>
    <comment ref="B213" authorId="0" shapeId="0" xr:uid="{00000000-0006-0000-0D00-000064000000}">
      <text>
        <r>
          <rPr>
            <b/>
            <sz val="9"/>
            <color indexed="81"/>
            <rFont val="Tahoma"/>
            <family val="2"/>
          </rPr>
          <t>IdB: Mohr et al., 2015 URR (paper) y max extraction (own elaboration from paper)</t>
        </r>
        <r>
          <rPr>
            <sz val="9"/>
            <color indexed="81"/>
            <rFont val="Tahoma"/>
            <family val="2"/>
          </rPr>
          <t xml:space="preserve">
</t>
        </r>
      </text>
    </comment>
    <comment ref="B216" authorId="0" shapeId="0" xr:uid="{00000000-0006-0000-0D00-000065000000}">
      <text>
        <r>
          <rPr>
            <b/>
            <sz val="9"/>
            <color indexed="81"/>
            <rFont val="Tahoma"/>
            <family val="2"/>
          </rPr>
          <t>IdB: Mohr et al., 2015 URR (paper) y max extraction (own elaboration from paper)</t>
        </r>
        <r>
          <rPr>
            <sz val="9"/>
            <color indexed="81"/>
            <rFont val="Tahoma"/>
            <family val="2"/>
          </rPr>
          <t xml:space="preserve">
</t>
        </r>
      </text>
    </comment>
    <comment ref="B219" authorId="0" shapeId="0" xr:uid="{00000000-0006-0000-0D00-000066000000}">
      <text>
        <r>
          <rPr>
            <b/>
            <sz val="9"/>
            <color indexed="81"/>
            <rFont val="Tahoma"/>
            <family val="2"/>
          </rPr>
          <t>IdB: Laherrere 2010</t>
        </r>
        <r>
          <rPr>
            <sz val="9"/>
            <color indexed="81"/>
            <rFont val="Tahoma"/>
            <family val="2"/>
          </rPr>
          <t xml:space="preserve">
URR (paper) y max extraction (own elaboration from paper)</t>
        </r>
      </text>
    </comment>
    <comment ref="B220" authorId="0" shapeId="0" xr:uid="{00000000-0006-0000-0D00-000067000000}">
      <text>
        <r>
          <rPr>
            <b/>
            <sz val="9"/>
            <color indexed="81"/>
            <rFont val="Tahoma"/>
            <family val="2"/>
          </rPr>
          <t>IdB: Laherrere 2010</t>
        </r>
        <r>
          <rPr>
            <sz val="9"/>
            <color indexed="81"/>
            <rFont val="Tahoma"/>
            <family val="2"/>
          </rPr>
          <t xml:space="preserve">
URR (paper) y max extraction (own elaboration from paper)</t>
        </r>
      </text>
    </comment>
    <comment ref="C220" authorId="1" shapeId="0" xr:uid="{00000000-0006-0000-0D00-000068000000}">
      <text>
        <r>
          <rPr>
            <b/>
            <sz val="9"/>
            <color indexed="81"/>
            <rFont val="Tahoma"/>
            <family val="2"/>
          </rPr>
          <t>Iñigo:</t>
        </r>
        <r>
          <rPr>
            <sz val="9"/>
            <color indexed="81"/>
            <rFont val="Tahoma"/>
            <family val="2"/>
          </rPr>
          <t xml:space="preserve">
no estimate in the original analysis, we consider a similar ratio than Mohr12 BG</t>
        </r>
      </text>
    </comment>
    <comment ref="B223" authorId="0" shapeId="0" xr:uid="{00000000-0006-0000-0D00-000069000000}">
      <text>
        <r>
          <rPr>
            <b/>
            <sz val="9"/>
            <color indexed="81"/>
            <rFont val="Tahoma"/>
            <family val="2"/>
          </rPr>
          <t>IdB: Mohr 2012
URR (paper) y max extraction (own elaboration from paper)</t>
        </r>
        <r>
          <rPr>
            <sz val="9"/>
            <color indexed="81"/>
            <rFont val="Tahoma"/>
            <family val="2"/>
          </rPr>
          <t xml:space="preserve">
</t>
        </r>
      </text>
    </comment>
    <comment ref="B224" authorId="0" shapeId="0" xr:uid="{00000000-0006-0000-0D00-00006A000000}">
      <text>
        <r>
          <rPr>
            <b/>
            <sz val="9"/>
            <color indexed="81"/>
            <rFont val="Tahoma"/>
            <family val="2"/>
          </rPr>
          <t>IdB: Mohr 2012
URR (paper) y max extraction (own elaboration from paper)</t>
        </r>
        <r>
          <rPr>
            <sz val="9"/>
            <color indexed="81"/>
            <rFont val="Tahoma"/>
            <family val="2"/>
          </rPr>
          <t xml:space="preserve">
</t>
        </r>
      </text>
    </comment>
    <comment ref="B227" authorId="1" shapeId="0" xr:uid="{00000000-0006-0000-0D00-00006B000000}">
      <text>
        <r>
          <rPr>
            <b/>
            <sz val="9"/>
            <color indexed="81"/>
            <rFont val="Tahoma"/>
            <family val="2"/>
          </rPr>
          <t>Iñigo:</t>
        </r>
        <r>
          <rPr>
            <sz val="9"/>
            <color indexed="81"/>
            <rFont val="Tahoma"/>
            <family val="2"/>
          </rPr>
          <t xml:space="preserve">
Laherrère (2018), personal communication</t>
        </r>
      </text>
    </comment>
    <comment ref="B228" authorId="1" shapeId="0" xr:uid="{00000000-0006-0000-0D00-00006C000000}">
      <text>
        <r>
          <rPr>
            <b/>
            <sz val="9"/>
            <color indexed="81"/>
            <rFont val="Tahoma"/>
            <family val="2"/>
          </rPr>
          <t>Iñigo:</t>
        </r>
        <r>
          <rPr>
            <sz val="9"/>
            <color indexed="81"/>
            <rFont val="Tahoma"/>
            <family val="2"/>
          </rPr>
          <t xml:space="preserve">
Laherrère (2018), personal communication</t>
        </r>
      </text>
    </comment>
    <comment ref="C228" authorId="1" shapeId="0" xr:uid="{00000000-0006-0000-0D00-00006D000000}">
      <text>
        <r>
          <rPr>
            <b/>
            <sz val="9"/>
            <color indexed="81"/>
            <rFont val="Tahoma"/>
            <family val="2"/>
          </rPr>
          <t>Iñigo:</t>
        </r>
        <r>
          <rPr>
            <sz val="9"/>
            <color indexed="81"/>
            <rFont val="Tahoma"/>
            <family val="2"/>
          </rPr>
          <t xml:space="preserve">
no estimate in the original analysis, we consider a similar ratio than Mohr12 BG</t>
        </r>
      </text>
    </comment>
    <comment ref="B232" authorId="0" shapeId="0" xr:uid="{00000000-0006-0000-0D00-00006E000000}">
      <text>
        <r>
          <rPr>
            <b/>
            <sz val="9"/>
            <color indexed="81"/>
            <rFont val="Tahoma"/>
            <family val="2"/>
          </rPr>
          <t>IdB: Mohr 2012</t>
        </r>
        <r>
          <rPr>
            <sz val="9"/>
            <color indexed="81"/>
            <rFont val="Tahoma"/>
            <family val="2"/>
          </rPr>
          <t xml:space="preserve">
URR (paper) y max extraction (own elaboration from paper)</t>
        </r>
      </text>
    </comment>
    <comment ref="B235" authorId="0" shapeId="0" xr:uid="{00000000-0006-0000-0D00-00006F000000}">
      <text>
        <r>
          <rPr>
            <b/>
            <sz val="9"/>
            <color indexed="81"/>
            <rFont val="Tahoma"/>
            <family val="2"/>
          </rPr>
          <t>IdB: Mohr et al., 2015 URR (paper) y max extraction (own elaboration from paper)</t>
        </r>
        <r>
          <rPr>
            <sz val="9"/>
            <color indexed="81"/>
            <rFont val="Tahoma"/>
            <family val="2"/>
          </rPr>
          <t xml:space="preserve">
</t>
        </r>
      </text>
    </comment>
    <comment ref="B238" authorId="0" shapeId="0" xr:uid="{00000000-0006-0000-0D00-000070000000}">
      <text>
        <r>
          <rPr>
            <b/>
            <sz val="9"/>
            <color indexed="81"/>
            <rFont val="Tahoma"/>
            <family val="2"/>
          </rPr>
          <t>IdB: Mohr et al., 2015</t>
        </r>
        <r>
          <rPr>
            <sz val="9"/>
            <color indexed="81"/>
            <rFont val="Tahoma"/>
            <family val="2"/>
          </rPr>
          <t xml:space="preserve">
</t>
        </r>
      </text>
    </comment>
    <comment ref="B241" authorId="0" shapeId="0" xr:uid="{00000000-0006-0000-0D00-000071000000}">
      <text>
        <r>
          <rPr>
            <b/>
            <sz val="9"/>
            <color indexed="81"/>
            <rFont val="Tahoma"/>
            <family val="2"/>
          </rPr>
          <t>IdB: Mohr et al., 2015 URR (paper) y max extraction (own elaboration from paper)</t>
        </r>
        <r>
          <rPr>
            <sz val="9"/>
            <color indexed="81"/>
            <rFont val="Tahoma"/>
            <family val="2"/>
          </rPr>
          <t xml:space="preserve">
</t>
        </r>
      </text>
    </comment>
    <comment ref="B245" authorId="0" shapeId="0" xr:uid="{00000000-0006-0000-0D00-000072000000}">
      <text>
        <r>
          <rPr>
            <b/>
            <sz val="9"/>
            <color indexed="81"/>
            <rFont val="Tahoma"/>
            <family val="2"/>
          </rPr>
          <t>IdB: Zittel12</t>
        </r>
        <r>
          <rPr>
            <sz val="9"/>
            <color indexed="81"/>
            <rFont val="Tahoma"/>
            <family val="2"/>
          </rPr>
          <t xml:space="preserve">
URR (paper) y max extraction (own elaboration from paper)</t>
        </r>
      </text>
    </comment>
    <comment ref="B248" authorId="0" shapeId="0" xr:uid="{00000000-0006-0000-0D00-000073000000}">
      <text>
        <r>
          <rPr>
            <b/>
            <sz val="9"/>
            <color indexed="81"/>
            <rFont val="Tahoma"/>
            <family val="2"/>
          </rPr>
          <t>IdB: EWG 2013
URR (paper) y max extraction (own elaboration from paper)</t>
        </r>
        <r>
          <rPr>
            <sz val="9"/>
            <color indexed="81"/>
            <rFont val="Tahoma"/>
            <family val="2"/>
          </rPr>
          <t xml:space="preserve">
</t>
        </r>
      </text>
    </comment>
    <comment ref="B251" authorId="0" shapeId="0" xr:uid="{00000000-0006-0000-0D00-000074000000}">
      <text>
        <r>
          <rPr>
            <b/>
            <sz val="9"/>
            <color indexed="81"/>
            <rFont val="Tahoma"/>
            <family val="2"/>
          </rPr>
          <t>IdB: EWG 2013
URR (paper) y max extraction (own elaboration from paper)</t>
        </r>
        <r>
          <rPr>
            <sz val="9"/>
            <color indexed="81"/>
            <rFont val="Tahoma"/>
            <family val="2"/>
          </rPr>
          <t xml:space="preserve">
</t>
        </r>
      </text>
    </comment>
    <comment ref="B257" authorId="1" shapeId="0" xr:uid="{00000000-0006-0000-0D00-000075000000}">
      <text>
        <r>
          <rPr>
            <b/>
            <sz val="9"/>
            <color indexed="81"/>
            <rFont val="Tahoma"/>
            <family val="2"/>
          </rPr>
          <t>Iñigo:</t>
        </r>
        <r>
          <rPr>
            <sz val="9"/>
            <color indexed="81"/>
            <rFont val="Tahoma"/>
            <family val="2"/>
          </rPr>
          <t xml:space="preserve">
Capellán-Pérez et al (2017)
</t>
        </r>
      </text>
    </comment>
    <comment ref="C257" authorId="1" shapeId="0" xr:uid="{00000000-0006-0000-0D00-000076000000}">
      <text>
        <r>
          <rPr>
            <b/>
            <sz val="9"/>
            <color indexed="81"/>
            <rFont val="Tahoma"/>
            <family val="2"/>
          </rPr>
          <t>Iñigo:</t>
        </r>
        <r>
          <rPr>
            <sz val="9"/>
            <color indexed="81"/>
            <rFont val="Tahoma"/>
            <family val="2"/>
          </rPr>
          <t xml:space="preserve">
own estimation from IPCC SRREN (2011) Table A.III.1</t>
        </r>
      </text>
    </comment>
    <comment ref="E257" authorId="1" shapeId="0" xr:uid="{00000000-0006-0000-0D00-000077000000}">
      <text>
        <r>
          <rPr>
            <b/>
            <sz val="9"/>
            <color indexed="81"/>
            <rFont val="Tahoma"/>
            <family val="2"/>
          </rPr>
          <t>Iñigo:</t>
        </r>
        <r>
          <rPr>
            <sz val="9"/>
            <color indexed="81"/>
            <rFont val="Tahoma"/>
            <family val="2"/>
          </rPr>
          <t xml:space="preserve">
Arvesen et al. (2011)</t>
        </r>
      </text>
    </comment>
    <comment ref="T257" authorId="1" shapeId="0" xr:uid="{00000000-0006-0000-0D00-000078000000}">
      <text>
        <r>
          <rPr>
            <b/>
            <sz val="9"/>
            <color indexed="81"/>
            <rFont val="Tahoma"/>
            <family val="2"/>
          </rPr>
          <t>Iñigo:</t>
        </r>
        <r>
          <rPr>
            <sz val="9"/>
            <color indexed="81"/>
            <rFont val="Tahoma"/>
            <family val="2"/>
          </rPr>
          <t xml:space="preserve">
Table 8 from REN21 (2017); RENEWABLES GLOBAL
FUTURES REPORT
GREAT DEBATES TOWARDS
100 % RENEWABLE ENERGY</t>
        </r>
      </text>
    </comment>
    <comment ref="W257" authorId="1" shapeId="0" xr:uid="{00000000-0006-0000-0D00-000079000000}">
      <text>
        <r>
          <rPr>
            <b/>
            <sz val="9"/>
            <color indexed="81"/>
            <rFont val="Tahoma"/>
            <family val="2"/>
          </rPr>
          <t>Iñigo:</t>
        </r>
        <r>
          <rPr>
            <sz val="9"/>
            <color indexed="81"/>
            <rFont val="Tahoma"/>
            <family val="2"/>
          </rPr>
          <t xml:space="preserve">
pendiente Carlos de enviarme las refs.</t>
        </r>
      </text>
    </comment>
    <comment ref="F260" authorId="1" shapeId="0" xr:uid="{00000000-0006-0000-0D00-00007A000000}">
      <text>
        <r>
          <rPr>
            <b/>
            <sz val="9"/>
            <color indexed="81"/>
            <rFont val="Tahoma"/>
            <family val="2"/>
          </rPr>
          <t>Iñigo:</t>
        </r>
        <r>
          <rPr>
            <sz val="9"/>
            <color indexed="81"/>
            <rFont val="Tahoma"/>
            <family val="2"/>
          </rPr>
          <t xml:space="preserve">
REN21 2016</t>
        </r>
      </text>
    </comment>
    <comment ref="W260" authorId="1" shapeId="0" xr:uid="{00000000-0006-0000-0D00-00007B000000}">
      <text>
        <r>
          <rPr>
            <b/>
            <sz val="9"/>
            <color indexed="81"/>
            <rFont val="Tahoma"/>
            <family val="2"/>
          </rPr>
          <t>Iñigo:</t>
        </r>
        <r>
          <rPr>
            <sz val="9"/>
            <color indexed="81"/>
            <rFont val="Tahoma"/>
            <family val="2"/>
          </rPr>
          <t xml:space="preserve">
basándose en Valeros, parte baja</t>
        </r>
      </text>
    </comment>
    <comment ref="F261" authorId="1" shapeId="0" xr:uid="{00000000-0006-0000-0D00-00007C000000}">
      <text>
        <r>
          <rPr>
            <b/>
            <sz val="9"/>
            <color indexed="81"/>
            <rFont val="Tahoma"/>
            <family val="2"/>
          </rPr>
          <t>Iñigo:</t>
        </r>
        <r>
          <rPr>
            <sz val="9"/>
            <color indexed="81"/>
            <rFont val="Tahoma"/>
            <family val="2"/>
          </rPr>
          <t xml:space="preserve">
estimación de Carlos</t>
        </r>
      </text>
    </comment>
    <comment ref="W261" authorId="1" shapeId="0" xr:uid="{00000000-0006-0000-0D00-00007D000000}">
      <text>
        <r>
          <rPr>
            <b/>
            <sz val="9"/>
            <color indexed="81"/>
            <rFont val="Tahoma"/>
            <family val="2"/>
          </rPr>
          <t>Iñigo:</t>
        </r>
        <r>
          <rPr>
            <sz val="9"/>
            <color indexed="81"/>
            <rFont val="Tahoma"/>
            <family val="2"/>
          </rPr>
          <t xml:space="preserve">
de Castro et al (2014)</t>
        </r>
      </text>
    </comment>
    <comment ref="F262" authorId="1" shapeId="0" xr:uid="{00000000-0006-0000-0D00-00007E000000}">
      <text>
        <r>
          <rPr>
            <b/>
            <sz val="9"/>
            <color indexed="81"/>
            <rFont val="Tahoma"/>
            <family val="2"/>
          </rPr>
          <t>Iñigo:</t>
        </r>
        <r>
          <rPr>
            <sz val="9"/>
            <color indexed="81"/>
            <rFont val="Tahoma"/>
            <family val="2"/>
          </rPr>
          <t xml:space="preserve">
Literature review (see TR)</t>
        </r>
      </text>
    </comment>
    <comment ref="W262" authorId="1" shapeId="0" xr:uid="{00000000-0006-0000-0D00-00007F000000}">
      <text>
        <r>
          <rPr>
            <b/>
            <sz val="9"/>
            <color indexed="81"/>
            <rFont val="Tahoma"/>
            <family val="2"/>
          </rPr>
          <t>Iñigo:</t>
        </r>
        <r>
          <rPr>
            <sz val="9"/>
            <color indexed="81"/>
            <rFont val="Tahoma"/>
            <family val="2"/>
          </rPr>
          <t xml:space="preserve">
own estimation (see D4.1)</t>
        </r>
      </text>
    </comment>
    <comment ref="F263" authorId="1" shapeId="0" xr:uid="{00000000-0006-0000-0D00-000080000000}">
      <text>
        <r>
          <rPr>
            <b/>
            <sz val="9"/>
            <color indexed="81"/>
            <rFont val="Tahoma"/>
            <family val="2"/>
          </rPr>
          <t>Iñigo:</t>
        </r>
        <r>
          <rPr>
            <sz val="9"/>
            <color indexed="81"/>
            <rFont val="Tahoma"/>
            <family val="2"/>
          </rPr>
          <t xml:space="preserve">
Boccard (2009)</t>
        </r>
      </text>
    </comment>
    <comment ref="F264" authorId="1" shapeId="0" xr:uid="{00000000-0006-0000-0D00-000081000000}">
      <text>
        <r>
          <rPr>
            <b/>
            <sz val="9"/>
            <color indexed="81"/>
            <rFont val="Tahoma"/>
            <family val="2"/>
          </rPr>
          <t>Iñigo:</t>
        </r>
        <r>
          <rPr>
            <sz val="9"/>
            <color indexed="81"/>
            <rFont val="Tahoma"/>
            <family val="2"/>
          </rPr>
          <t xml:space="preserve">
own estimation</t>
        </r>
      </text>
    </comment>
    <comment ref="B265" authorId="1" shapeId="0" xr:uid="{00000000-0006-0000-0D00-000082000000}">
      <text>
        <r>
          <rPr>
            <b/>
            <sz val="9"/>
            <color indexed="81"/>
            <rFont val="Tahoma"/>
            <family val="2"/>
          </rPr>
          <t>Iñigo:</t>
        </r>
        <r>
          <rPr>
            <sz val="9"/>
            <color indexed="81"/>
            <rFont val="Tahoma"/>
            <family val="2"/>
          </rPr>
          <t xml:space="preserve">
Estimated endogenously</t>
        </r>
      </text>
    </comment>
    <comment ref="F265" authorId="1" shapeId="0" xr:uid="{00000000-0006-0000-0D00-000083000000}">
      <text>
        <r>
          <rPr>
            <b/>
            <sz val="9"/>
            <color indexed="81"/>
            <rFont val="Tahoma"/>
            <family val="2"/>
          </rPr>
          <t>Iñigo:</t>
        </r>
        <r>
          <rPr>
            <sz val="9"/>
            <color indexed="81"/>
            <rFont val="Tahoma"/>
            <family val="2"/>
          </rPr>
          <t xml:space="preserve">
BP (2016) and own estimation assuming that the power installed in each year has been functioning just 1/2 of the year) is 14%.</t>
        </r>
      </text>
    </comment>
    <comment ref="B266" authorId="1" shapeId="0" xr:uid="{00000000-0006-0000-0D00-000084000000}">
      <text>
        <r>
          <rPr>
            <b/>
            <sz val="9"/>
            <color indexed="81"/>
            <rFont val="Tahoma"/>
            <family val="2"/>
          </rPr>
          <t>Iñigo:</t>
        </r>
        <r>
          <rPr>
            <sz val="9"/>
            <color indexed="81"/>
            <rFont val="Tahoma"/>
            <family val="2"/>
          </rPr>
          <t xml:space="preserve">
De Castro et al (2013); De Castro &amp; Capellán-Pérez (2017)</t>
        </r>
      </text>
    </comment>
    <comment ref="F266" authorId="1" shapeId="0" xr:uid="{00000000-0006-0000-0D00-000085000000}">
      <text>
        <r>
          <rPr>
            <b/>
            <sz val="9"/>
            <color indexed="81"/>
            <rFont val="Tahoma"/>
            <family val="2"/>
          </rPr>
          <t>Iñigo:</t>
        </r>
        <r>
          <rPr>
            <sz val="9"/>
            <color indexed="81"/>
            <rFont val="Tahoma"/>
            <family val="2"/>
          </rPr>
          <t xml:space="preserve">
de Castro &amp; Capellán-Pérez (2017) Working paper</t>
        </r>
      </text>
    </comment>
    <comment ref="S267" authorId="1" shapeId="0" xr:uid="{00000000-0006-0000-0D00-000086000000}">
      <text>
        <r>
          <rPr>
            <b/>
            <sz val="9"/>
            <color indexed="81"/>
            <rFont val="Tahoma"/>
            <family val="2"/>
          </rPr>
          <t>Iñigo:</t>
        </r>
        <r>
          <rPr>
            <sz val="9"/>
            <color indexed="81"/>
            <rFont val="Tahoma"/>
            <family val="2"/>
          </rPr>
          <t xml:space="preserve">
Schneider &amp; Froggatt (2016)
</t>
        </r>
      </text>
    </comment>
    <comment ref="T267" authorId="1" shapeId="0" xr:uid="{00000000-0006-0000-0D00-000087000000}">
      <text>
        <r>
          <rPr>
            <b/>
            <sz val="9"/>
            <color indexed="81"/>
            <rFont val="Tahoma"/>
            <family val="2"/>
          </rPr>
          <t>Iñigo:</t>
        </r>
        <r>
          <rPr>
            <sz val="9"/>
            <color indexed="81"/>
            <rFont val="Tahoma"/>
            <family val="2"/>
          </rPr>
          <t xml:space="preserve">
Schneider &amp; Froggatt (2016)
</t>
        </r>
      </text>
    </comment>
    <comment ref="F268" authorId="1" shapeId="0" xr:uid="{00000000-0006-0000-0D00-000088000000}">
      <text>
        <r>
          <rPr>
            <b/>
            <sz val="9"/>
            <color indexed="81"/>
            <rFont val="Tahoma"/>
            <family val="2"/>
          </rPr>
          <t>Iñigo:</t>
        </r>
        <r>
          <rPr>
            <sz val="9"/>
            <color indexed="81"/>
            <rFont val="Tahoma"/>
            <family val="2"/>
          </rPr>
          <t xml:space="preserve">
own calculations from SHC (2016)</t>
        </r>
      </text>
    </comment>
    <comment ref="W268" authorId="1" shapeId="0" xr:uid="{00000000-0006-0000-0D00-000089000000}">
      <text>
        <r>
          <rPr>
            <b/>
            <sz val="9"/>
            <color indexed="81"/>
            <rFont val="Tahoma"/>
            <family val="2"/>
          </rPr>
          <t>Iñigo:</t>
        </r>
        <r>
          <rPr>
            <sz val="9"/>
            <color indexed="81"/>
            <rFont val="Tahoma"/>
            <family val="2"/>
          </rPr>
          <t xml:space="preserve">
own estimation:
Como la eficiencia de conversión puede ser del 50% (2,5 veces) y la Cp es la mitad, entonces sería 1,25 veces mayor que la EROEI solar, como tiene materiales más comunes (silicon wafer se lo ahorra) y no necesita grid etc. Multiplicar x1,5 la EROEI fotovoltaica puede ser más o menos el EROEI de esta tecnología.</t>
        </r>
      </text>
    </comment>
    <comment ref="F269" authorId="1" shapeId="0" xr:uid="{00000000-0006-0000-0D00-00008A000000}">
      <text>
        <r>
          <rPr>
            <b/>
            <sz val="9"/>
            <color indexed="81"/>
            <rFont val="Tahoma"/>
            <family val="2"/>
          </rPr>
          <t>Iñigo:</t>
        </r>
        <r>
          <rPr>
            <sz val="9"/>
            <color indexed="81"/>
            <rFont val="Tahoma"/>
            <family val="2"/>
          </rPr>
          <t xml:space="preserve">
Carlos estima 0.39.. Ver "calcs-intermittence+EROI-RES elec+CCC.xlsx"</t>
        </r>
      </text>
    </comment>
    <comment ref="W270" authorId="1" shapeId="0" xr:uid="{00000000-0006-0000-0D00-00008B000000}">
      <text>
        <r>
          <rPr>
            <b/>
            <sz val="9"/>
            <color indexed="81"/>
            <rFont val="Tahoma"/>
            <family val="2"/>
          </rPr>
          <t>Iñigo:</t>
        </r>
        <r>
          <rPr>
            <sz val="9"/>
            <color indexed="81"/>
            <rFont val="Tahoma"/>
            <family val="2"/>
          </rPr>
          <t xml:space="preserve">
multiplico por 5 la de biofuel, habría que buscar</t>
        </r>
      </text>
    </comment>
    <comment ref="F271" authorId="1" shapeId="0" xr:uid="{00000000-0006-0000-0D00-00008C000000}">
      <text>
        <r>
          <rPr>
            <b/>
            <sz val="9"/>
            <color indexed="81"/>
            <rFont val="Tahoma"/>
            <family val="2"/>
          </rPr>
          <t>Iñigo:</t>
        </r>
        <r>
          <rPr>
            <sz val="9"/>
            <color indexed="81"/>
            <rFont val="Tahoma"/>
            <family val="2"/>
          </rPr>
          <t xml:space="preserve">
IRENA and extrapolation following EIA (2009)</t>
        </r>
      </text>
    </comment>
    <comment ref="G273" authorId="1" shapeId="0" xr:uid="{00000000-0006-0000-0D00-00008D000000}">
      <text>
        <r>
          <rPr>
            <b/>
            <sz val="9"/>
            <color indexed="81"/>
            <rFont val="Tahoma"/>
            <family val="2"/>
          </rPr>
          <t>Iñigo:</t>
        </r>
        <r>
          <rPr>
            <sz val="9"/>
            <color indexed="81"/>
            <rFont val="Tahoma"/>
            <family val="2"/>
          </rPr>
          <t xml:space="preserve">
Anex 3 de Valeros</t>
        </r>
      </text>
    </comment>
    <comment ref="A280" authorId="1" shapeId="0" xr:uid="{00000000-0006-0000-0D00-00008E000000}">
      <text>
        <r>
          <rPr>
            <b/>
            <sz val="9"/>
            <color indexed="81"/>
            <rFont val="Tahoma"/>
            <family val="2"/>
          </rPr>
          <t>Iñigo:</t>
        </r>
        <r>
          <rPr>
            <sz val="9"/>
            <color indexed="81"/>
            <rFont val="Tahoma"/>
            <family val="2"/>
          </rPr>
          <t xml:space="preserve">
Source: BP for the years 2000-2009</t>
        </r>
      </text>
    </comment>
    <comment ref="G287" authorId="1" shapeId="0" xr:uid="{00000000-0006-0000-0D00-00008F000000}">
      <text>
        <r>
          <rPr>
            <b/>
            <sz val="9"/>
            <color indexed="81"/>
            <rFont val="Tahoma"/>
            <family val="2"/>
          </rPr>
          <t>Iñigo:</t>
        </r>
        <r>
          <rPr>
            <sz val="9"/>
            <color indexed="81"/>
            <rFont val="Tahoma"/>
            <family val="2"/>
          </rPr>
          <t xml:space="preserve">
IEA (2014)
</t>
        </r>
      </text>
    </comment>
    <comment ref="K287" authorId="1" shapeId="0" xr:uid="{00000000-0006-0000-0D00-000090000000}">
      <text>
        <r>
          <rPr>
            <b/>
            <sz val="9"/>
            <color indexed="81"/>
            <rFont val="Tahoma"/>
            <family val="2"/>
          </rPr>
          <t>Iñigo:</t>
        </r>
        <r>
          <rPr>
            <sz val="9"/>
            <color indexed="81"/>
            <rFont val="Tahoma"/>
            <family val="2"/>
          </rPr>
          <t xml:space="preserve">
Hermann (2006)
http://www.sciencedirect.com/science/article/pii/S0360544205001805 
</t>
        </r>
      </text>
    </comment>
    <comment ref="E288" authorId="1" shapeId="0" xr:uid="{00000000-0006-0000-0D00-000091000000}">
      <text>
        <r>
          <rPr>
            <b/>
            <sz val="9"/>
            <color indexed="81"/>
            <rFont val="Tahoma"/>
            <family val="2"/>
          </rPr>
          <t>Iñigo:</t>
        </r>
        <r>
          <rPr>
            <sz val="9"/>
            <color indexed="81"/>
            <rFont val="Tahoma"/>
            <family val="2"/>
          </rPr>
          <t xml:space="preserve">
Auxiliar variable to take into account the indirect energy inputs in the estimation of th EROI of the system.
When =1, EROImet = EROIst.</t>
        </r>
      </text>
    </comment>
    <comment ref="G288" authorId="1" shapeId="0" xr:uid="{00000000-0006-0000-0D00-000092000000}">
      <text>
        <r>
          <rPr>
            <b/>
            <sz val="9"/>
            <color indexed="81"/>
            <rFont val="Tahoma"/>
            <family val="2"/>
          </rPr>
          <t>Iñigo:</t>
        </r>
        <r>
          <rPr>
            <sz val="9"/>
            <color indexed="81"/>
            <rFont val="Tahoma"/>
            <family val="2"/>
          </rPr>
          <t xml:space="preserve">
own estimation, see technical report</t>
        </r>
      </text>
    </comment>
    <comment ref="K288" authorId="1" shapeId="0" xr:uid="{00000000-0006-0000-0D00-000093000000}">
      <text>
        <r>
          <rPr>
            <b/>
            <sz val="9"/>
            <color indexed="81"/>
            <rFont val="Tahoma"/>
            <family val="2"/>
          </rPr>
          <t>Iñigo:</t>
        </r>
        <r>
          <rPr>
            <sz val="9"/>
            <color indexed="81"/>
            <rFont val="Tahoma"/>
            <family val="2"/>
          </rPr>
          <t xml:space="preserve">
de Castro et al (2013)
http://www.sciencedirect.com/science/article/pii/S1364032113005807</t>
        </r>
      </text>
    </comment>
    <comment ref="K289" authorId="1" shapeId="0" xr:uid="{00000000-0006-0000-0D00-000094000000}">
      <text>
        <r>
          <rPr>
            <b/>
            <sz val="9"/>
            <color indexed="81"/>
            <rFont val="Tahoma"/>
            <family val="2"/>
          </rPr>
          <t>Iñigo:</t>
        </r>
        <r>
          <rPr>
            <sz val="9"/>
            <color indexed="81"/>
            <rFont val="Tahoma"/>
            <family val="2"/>
          </rPr>
          <t xml:space="preserve">
Value for the region "Temperate 1" from Capellán-Pérez et al (2017)
http://www.sciencedirect.com/science/article/pii/S1364032117304720</t>
        </r>
      </text>
    </comment>
    <comment ref="K290" authorId="1" shapeId="0" xr:uid="{00000000-0006-0000-0D00-000095000000}">
      <text>
        <r>
          <rPr>
            <b/>
            <sz val="9"/>
            <color indexed="81"/>
            <rFont val="Tahoma"/>
            <family val="2"/>
          </rPr>
          <t>Iñigo:</t>
        </r>
        <r>
          <rPr>
            <sz val="9"/>
            <color indexed="81"/>
            <rFont val="Tahoma"/>
            <family val="2"/>
          </rPr>
          <t xml:space="preserve">
Value for the region "Temperate 1" from Capellán-Pérez et al (2017)
http://www.sciencedirect.com/science/article/pii/S1364032117304720</t>
        </r>
      </text>
    </comment>
    <comment ref="C292" authorId="1" shapeId="0" xr:uid="{00000000-0006-0000-0D00-000096000000}">
      <text>
        <r>
          <rPr>
            <b/>
            <sz val="9"/>
            <color indexed="81"/>
            <rFont val="Tahoma"/>
            <family val="2"/>
          </rPr>
          <t>Iñigo:</t>
        </r>
        <r>
          <rPr>
            <sz val="9"/>
            <color indexed="81"/>
            <rFont val="Tahoma"/>
            <family val="2"/>
          </rPr>
          <t xml:space="preserve">
EIA criteria</t>
        </r>
      </text>
    </comment>
    <comment ref="G292" authorId="1" shapeId="0" xr:uid="{00000000-0006-0000-0D00-000097000000}">
      <text>
        <r>
          <rPr>
            <b/>
            <sz val="9"/>
            <color indexed="81"/>
            <rFont val="Tahoma"/>
            <family val="2"/>
          </rPr>
          <t>Iñigo:</t>
        </r>
        <r>
          <rPr>
            <sz val="9"/>
            <color indexed="81"/>
            <rFont val="Tahoma"/>
            <family val="2"/>
          </rPr>
          <t xml:space="preserve">
own estimation from SHC (2016)</t>
        </r>
      </text>
    </comment>
    <comment ref="G293" authorId="1" shapeId="0" xr:uid="{00000000-0006-0000-0D00-000098000000}">
      <text>
        <r>
          <rPr>
            <b/>
            <sz val="9"/>
            <color indexed="81"/>
            <rFont val="Tahoma"/>
            <family val="2"/>
          </rPr>
          <t>Iñigo:</t>
        </r>
        <r>
          <rPr>
            <sz val="9"/>
            <color indexed="81"/>
            <rFont val="Tahoma"/>
            <family val="2"/>
          </rPr>
          <t xml:space="preserve">
Nielsen (2011, cited in MEDEAS D4.1) &amp; WoLiM 1.5
http://www.iea-shc.org/common-calculation-method 
</t>
        </r>
      </text>
    </comment>
    <comment ref="A294" authorId="1" shapeId="0" xr:uid="{00000000-0006-0000-0D00-000099000000}">
      <text>
        <r>
          <rPr>
            <b/>
            <sz val="9"/>
            <color indexed="81"/>
            <rFont val="Tahoma"/>
            <family val="2"/>
          </rPr>
          <t>Iñigo:</t>
        </r>
        <r>
          <rPr>
            <sz val="9"/>
            <color indexed="81"/>
            <rFont val="Tahoma"/>
            <family val="2"/>
          </rPr>
          <t xml:space="preserve">
own calculations from IEA balances
</t>
        </r>
      </text>
    </comment>
    <comment ref="G294" authorId="1" shapeId="0" xr:uid="{00000000-0006-0000-0D00-00009A000000}">
      <text>
        <r>
          <rPr>
            <b/>
            <sz val="9"/>
            <color indexed="81"/>
            <rFont val="Tahoma"/>
            <family val="2"/>
          </rPr>
          <t>Iñigo:</t>
        </r>
        <r>
          <rPr>
            <sz val="9"/>
            <color indexed="81"/>
            <rFont val="Tahoma"/>
            <family val="2"/>
          </rPr>
          <t xml:space="preserve">
(IEA balances, average 1995-2015)</t>
        </r>
      </text>
    </comment>
    <comment ref="A295" authorId="0" shapeId="0" xr:uid="{00000000-0006-0000-0D00-00009B000000}">
      <text>
        <r>
          <rPr>
            <b/>
            <sz val="9"/>
            <color indexed="81"/>
            <rFont val="Tahoma"/>
            <family val="2"/>
          </rPr>
          <t>IdB:</t>
        </r>
        <r>
          <rPr>
            <sz val="9"/>
            <color indexed="81"/>
            <rFont val="Tahoma"/>
            <family val="2"/>
          </rPr>
          <t xml:space="preserve">
own calculations from IEA balances</t>
        </r>
      </text>
    </comment>
    <comment ref="G298" authorId="2" shapeId="0" xr:uid="{00000000-0006-0000-0D00-00009C000000}">
      <text>
        <r>
          <rPr>
            <b/>
            <sz val="9"/>
            <color indexed="81"/>
            <rFont val="Tahoma"/>
            <family val="2"/>
          </rPr>
          <t>Autor:</t>
        </r>
        <r>
          <rPr>
            <sz val="9"/>
            <color indexed="81"/>
            <rFont val="Tahoma"/>
            <family val="2"/>
          </rPr>
          <t xml:space="preserve">
Own calculations, see F3 in tab "Minerals".</t>
        </r>
      </text>
    </comment>
    <comment ref="G299" authorId="1" shapeId="0" xr:uid="{00000000-0006-0000-0D00-00009D000000}">
      <text>
        <r>
          <rPr>
            <b/>
            <sz val="9"/>
            <color indexed="81"/>
            <rFont val="Tahoma"/>
            <family val="2"/>
          </rPr>
          <t>Iñigo:</t>
        </r>
        <r>
          <rPr>
            <sz val="9"/>
            <color indexed="81"/>
            <rFont val="Tahoma"/>
            <family val="2"/>
          </rPr>
          <t xml:space="preserve">
own estimations, see comments in "Minerals" sheet</t>
        </r>
      </text>
    </comment>
    <comment ref="E302" authorId="1" shapeId="0" xr:uid="{00000000-0006-0000-0D00-00009E000000}">
      <text>
        <r>
          <rPr>
            <b/>
            <sz val="9"/>
            <color indexed="81"/>
            <rFont val="Tahoma"/>
            <family val="2"/>
          </rPr>
          <t>Iñigo:</t>
        </r>
        <r>
          <rPr>
            <sz val="9"/>
            <color indexed="81"/>
            <rFont val="Tahoma"/>
            <family val="2"/>
          </rPr>
          <t xml:space="preserve">
Denholm and Margolis, (2008, Energy Policy)
http://www.sciencedirect.com/science/article/pii/S0301421508002796</t>
        </r>
      </text>
    </comment>
    <comment ref="G304" authorId="2" shapeId="0" xr:uid="{00000000-0006-0000-0D00-00009F000000}">
      <text>
        <r>
          <rPr>
            <b/>
            <sz val="9"/>
            <color indexed="81"/>
            <rFont val="Tahoma"/>
            <family val="2"/>
          </rPr>
          <t>Autor:</t>
        </r>
        <r>
          <rPr>
            <sz val="9"/>
            <color indexed="81"/>
            <rFont val="Tahoma"/>
            <family val="2"/>
          </rPr>
          <t xml:space="preserve">
IRENA database</t>
        </r>
      </text>
    </comment>
    <comment ref="G305" authorId="1" shapeId="0" xr:uid="{00000000-0006-0000-0D00-0000A0000000}">
      <text>
        <r>
          <rPr>
            <b/>
            <sz val="9"/>
            <color indexed="81"/>
            <rFont val="Tahoma"/>
            <family val="2"/>
          </rPr>
          <t>Iñigo:</t>
        </r>
        <r>
          <rPr>
            <sz val="9"/>
            <color indexed="81"/>
            <rFont val="Tahoma"/>
            <family val="2"/>
          </rPr>
          <t xml:space="preserve">
own estimation from historic data</t>
        </r>
      </text>
    </comment>
    <comment ref="A308" authorId="1" shapeId="0" xr:uid="{00000000-0006-0000-0D00-0000A1000000}">
      <text>
        <r>
          <rPr>
            <b/>
            <sz val="9"/>
            <color indexed="81"/>
            <rFont val="Tahoma"/>
            <family val="2"/>
          </rPr>
          <t>Iñigo:</t>
        </r>
        <r>
          <rPr>
            <sz val="9"/>
            <color indexed="81"/>
            <rFont val="Tahoma"/>
            <family val="2"/>
          </rPr>
          <t xml:space="preserve">
own estimation derived from IEA balances</t>
        </r>
      </text>
    </comment>
    <comment ref="A309" authorId="0" shapeId="0" xr:uid="{00000000-0006-0000-0D00-0000A2000000}">
      <text>
        <r>
          <rPr>
            <b/>
            <sz val="9"/>
            <color indexed="81"/>
            <rFont val="Tahoma"/>
            <family val="2"/>
          </rPr>
          <t>IdB:</t>
        </r>
        <r>
          <rPr>
            <sz val="9"/>
            <color indexed="81"/>
            <rFont val="Tahoma"/>
            <family val="2"/>
          </rPr>
          <t xml:space="preserve">
(WEO, 2010)
</t>
        </r>
      </text>
    </comment>
    <comment ref="A310" authorId="0" shapeId="0" xr:uid="{00000000-0006-0000-0D00-0000A3000000}">
      <text>
        <r>
          <rPr>
            <b/>
            <sz val="9"/>
            <color indexed="81"/>
            <rFont val="Tahoma"/>
            <family val="2"/>
          </rPr>
          <t>IdB:</t>
        </r>
        <r>
          <rPr>
            <sz val="9"/>
            <color indexed="81"/>
            <rFont val="Tahoma"/>
            <family val="2"/>
          </rPr>
          <t xml:space="preserve">
de Castro et al (2014).</t>
        </r>
      </text>
    </comment>
    <comment ref="A311" authorId="0" shapeId="0" xr:uid="{00000000-0006-0000-0D00-0000A4000000}">
      <text>
        <r>
          <rPr>
            <b/>
            <sz val="9"/>
            <color indexed="81"/>
            <rFont val="Tahoma"/>
            <family val="2"/>
          </rPr>
          <t>IdB:</t>
        </r>
        <r>
          <rPr>
            <sz val="9"/>
            <color indexed="81"/>
            <rFont val="Tahoma"/>
            <family val="2"/>
          </rPr>
          <t xml:space="preserve">
Field et al., 2008</t>
        </r>
      </text>
    </comment>
    <comment ref="A312" authorId="0" shapeId="0" xr:uid="{00000000-0006-0000-0D00-0000A5000000}">
      <text>
        <r>
          <rPr>
            <b/>
            <sz val="9"/>
            <color indexed="81"/>
            <rFont val="Tahoma"/>
            <family val="2"/>
          </rPr>
          <t>Iñigo:</t>
        </r>
        <r>
          <rPr>
            <sz val="9"/>
            <color indexed="81"/>
            <rFont val="Tahoma"/>
            <family val="2"/>
          </rPr>
          <t xml:space="preserve">
de Castro, Carpintero, Frechoso, Mediavilla and de Miguel (2014, Energy)
http://www.sciencedirect.com/science/article/pii/S0360544213009018</t>
        </r>
      </text>
    </comment>
    <comment ref="A313" authorId="0" shapeId="0" xr:uid="{00000000-0006-0000-0D00-0000A6000000}">
      <text>
        <r>
          <rPr>
            <b/>
            <sz val="9"/>
            <color indexed="81"/>
            <rFont val="Tahoma"/>
            <family val="2"/>
          </rPr>
          <t>IdB:</t>
        </r>
        <r>
          <rPr>
            <sz val="9"/>
            <color indexed="81"/>
            <rFont val="Tahoma"/>
            <family val="2"/>
          </rPr>
          <t xml:space="preserve">
Field et al. (2008)</t>
        </r>
      </text>
    </comment>
    <comment ref="A314" authorId="0" shapeId="0" xr:uid="{00000000-0006-0000-0D00-0000A7000000}">
      <text>
        <r>
          <rPr>
            <b/>
            <sz val="9"/>
            <color indexed="81"/>
            <rFont val="Tahoma"/>
            <family val="2"/>
          </rPr>
          <t>IdB:</t>
        </r>
        <r>
          <rPr>
            <sz val="9"/>
            <color indexed="81"/>
            <rFont val="Tahoma"/>
            <family val="2"/>
          </rPr>
          <t xml:space="preserve">
Field et al (2008)</t>
        </r>
      </text>
    </comment>
    <comment ref="E314" authorId="1" shapeId="0" xr:uid="{00000000-0006-0000-0D00-0000A8000000}">
      <text>
        <r>
          <rPr>
            <b/>
            <sz val="9"/>
            <color indexed="81"/>
            <rFont val="Tahoma"/>
            <family val="2"/>
          </rPr>
          <t>Iñigo:</t>
        </r>
        <r>
          <rPr>
            <sz val="9"/>
            <color indexed="81"/>
            <rFont val="Tahoma"/>
            <family val="2"/>
          </rPr>
          <t xml:space="preserve">
datos ad hoc o de Hall et al (2014)</t>
        </r>
      </text>
    </comment>
    <comment ref="A322" authorId="0" shapeId="0" xr:uid="{00000000-0006-0000-0D00-0000A9000000}">
      <text>
        <r>
          <rPr>
            <b/>
            <sz val="9"/>
            <color indexed="81"/>
            <rFont val="Tahoma"/>
            <family val="2"/>
          </rPr>
          <t>IdB:</t>
        </r>
        <r>
          <rPr>
            <sz val="9"/>
            <color indexed="81"/>
            <rFont val="Tahoma"/>
            <family val="2"/>
          </rPr>
          <t xml:space="preserve">
FAOSTAT).</t>
        </r>
      </text>
    </comment>
    <comment ref="A323" authorId="0" shapeId="0" xr:uid="{00000000-0006-0000-0D00-0000AA000000}">
      <text>
        <r>
          <rPr>
            <b/>
            <sz val="9"/>
            <color indexed="81"/>
            <rFont val="Tahoma"/>
            <family val="2"/>
          </rPr>
          <t>IdB:</t>
        </r>
        <r>
          <rPr>
            <sz val="9"/>
            <color indexed="81"/>
            <rFont val="Tahoma"/>
            <family val="2"/>
          </rPr>
          <t xml:space="preserve">
(Wackernagel et al., 2002; WWF, 2008; Young, 1999).</t>
        </r>
      </text>
    </comment>
    <comment ref="A325" authorId="0" shapeId="0" xr:uid="{00000000-0006-0000-0D00-0000AB000000}">
      <text>
        <r>
          <rPr>
            <b/>
            <sz val="9"/>
            <color indexed="81"/>
            <rFont val="Tahoma"/>
            <family val="2"/>
          </rPr>
          <t>IdB:</t>
        </r>
        <r>
          <rPr>
            <sz val="9"/>
            <color indexed="81"/>
            <rFont val="Tahoma"/>
            <family val="2"/>
          </rPr>
          <t xml:space="preserve">
WEO (2010) gives a 2.8% for the year 2009 and BP (2007) 2.6%. The value 2.7% is taken.</t>
        </r>
      </text>
    </comment>
    <comment ref="A340" authorId="1" shapeId="0" xr:uid="{00000000-0006-0000-0D00-0000AC000000}">
      <text>
        <r>
          <rPr>
            <b/>
            <sz val="9"/>
            <color indexed="81"/>
            <rFont val="Tahoma"/>
            <family val="2"/>
          </rPr>
          <t>Iñigo:</t>
        </r>
        <r>
          <rPr>
            <sz val="9"/>
            <color indexed="81"/>
            <rFont val="Tahoma"/>
            <family val="2"/>
          </rPr>
          <t xml:space="preserve">
Brandt and Farrell (2007)</t>
        </r>
      </text>
    </comment>
    <comment ref="A341" authorId="1" shapeId="0" xr:uid="{00000000-0006-0000-0D00-0000AD000000}">
      <text>
        <r>
          <rPr>
            <b/>
            <sz val="9"/>
            <color indexed="81"/>
            <rFont val="Tahoma"/>
            <family val="2"/>
          </rPr>
          <t>Iñigo:</t>
        </r>
        <r>
          <rPr>
            <sz val="9"/>
            <color indexed="81"/>
            <rFont val="Tahoma"/>
            <family val="2"/>
          </rPr>
          <t xml:space="preserve">
Brandt and Farrell (2007)</t>
        </r>
      </text>
    </comment>
    <comment ref="A342" authorId="1" shapeId="0" xr:uid="{00000000-0006-0000-0D00-0000AE000000}">
      <text>
        <r>
          <rPr>
            <b/>
            <sz val="9"/>
            <color indexed="81"/>
            <rFont val="Tahoma"/>
            <family val="2"/>
          </rPr>
          <t>Iñigo:</t>
        </r>
        <r>
          <rPr>
            <sz val="9"/>
            <color indexed="81"/>
            <rFont val="Tahoma"/>
            <family val="2"/>
          </rPr>
          <t xml:space="preserve">
BP Statistical Review of World Energy (2013)</t>
        </r>
      </text>
    </comment>
    <comment ref="A343" authorId="1" shapeId="0" xr:uid="{00000000-0006-0000-0D00-0000AF000000}">
      <text>
        <r>
          <rPr>
            <b/>
            <sz val="9"/>
            <color indexed="81"/>
            <rFont val="Tahoma"/>
            <family val="2"/>
          </rPr>
          <t>Iñigo:</t>
        </r>
        <r>
          <rPr>
            <sz val="9"/>
            <color indexed="81"/>
            <rFont val="Tahoma"/>
            <family val="2"/>
          </rPr>
          <t xml:space="preserve">
BP Statistical Review of World Energy (2013)</t>
        </r>
      </text>
    </comment>
    <comment ref="A344" authorId="1" shapeId="0" xr:uid="{00000000-0006-0000-0D00-0000B0000000}">
      <text>
        <r>
          <rPr>
            <b/>
            <sz val="9"/>
            <color indexed="81"/>
            <rFont val="Tahoma"/>
            <family val="2"/>
          </rPr>
          <t>Iñigo:</t>
        </r>
        <r>
          <rPr>
            <sz val="9"/>
            <color indexed="81"/>
            <rFont val="Tahoma"/>
            <family val="2"/>
          </rPr>
          <t xml:space="preserve">
BP Statistical Review of World Energy (2013)</t>
        </r>
      </text>
    </comment>
    <comment ref="A345" authorId="1" shapeId="0" xr:uid="{00000000-0006-0000-0D00-0000B1000000}">
      <text>
        <r>
          <rPr>
            <b/>
            <sz val="9"/>
            <color indexed="81"/>
            <rFont val="Tahoma"/>
            <family val="2"/>
          </rPr>
          <t>Iñigo:</t>
        </r>
        <r>
          <rPr>
            <sz val="9"/>
            <color indexed="81"/>
            <rFont val="Tahoma"/>
            <family val="2"/>
          </rPr>
          <t xml:space="preserve">
Howarth (2015) Fig. 2
Same as for conventional gas</t>
        </r>
      </text>
    </comment>
    <comment ref="A346" authorId="1" shapeId="0" xr:uid="{00000000-0006-0000-0D00-0000B2000000}">
      <text>
        <r>
          <rPr>
            <b/>
            <sz val="9"/>
            <color indexed="81"/>
            <rFont val="Tahoma"/>
            <family val="2"/>
          </rPr>
          <t>Iñigo:</t>
        </r>
        <r>
          <rPr>
            <sz val="9"/>
            <color indexed="81"/>
            <rFont val="Tahoma"/>
            <family val="2"/>
          </rPr>
          <t xml:space="preserve">
Brandt and Farrell (2007)</t>
        </r>
      </text>
    </comment>
    <comment ref="A347" authorId="1" shapeId="0" xr:uid="{00000000-0006-0000-0D00-0000B3000000}">
      <text>
        <r>
          <rPr>
            <b/>
            <sz val="9"/>
            <color indexed="81"/>
            <rFont val="Tahoma"/>
            <family val="2"/>
          </rPr>
          <t>Iñigo:</t>
        </r>
        <r>
          <rPr>
            <sz val="9"/>
            <color indexed="81"/>
            <rFont val="Tahoma"/>
            <family val="2"/>
          </rPr>
          <t xml:space="preserve">
Brandt and Farrell (2007)</t>
        </r>
      </text>
    </comment>
    <comment ref="B466" authorId="3" shapeId="0" xr:uid="{00000000-0006-0000-0D00-0000B4000000}">
      <text>
        <r>
          <rPr>
            <b/>
            <sz val="9"/>
            <color indexed="81"/>
            <rFont val="Tahoma"/>
            <family val="2"/>
          </rPr>
          <t>marga:</t>
        </r>
        <r>
          <rPr>
            <sz val="9"/>
            <color indexed="81"/>
            <rFont val="Tahoma"/>
            <family val="2"/>
          </rPr>
          <t xml:space="preserve">
Size of the batteries of each vehicle compared to a standard  21,3KWh ion lithium comertial battery. Batteries size is proportional to the wheight of vehicles except for hybrids.
Coeficients calculated from severan references, explanations in Medeas deliverable…</t>
        </r>
      </text>
    </comment>
    <comment ref="B468" authorId="3" shapeId="0" xr:uid="{00000000-0006-0000-0D00-0000B5000000}">
      <text>
        <r>
          <rPr>
            <b/>
            <sz val="9"/>
            <color indexed="81"/>
            <rFont val="Tahoma"/>
            <family val="2"/>
          </rPr>
          <t>marga:</t>
        </r>
        <r>
          <rPr>
            <sz val="9"/>
            <color indexed="81"/>
            <rFont val="Tahoma"/>
            <family val="2"/>
          </rPr>
          <t xml:space="preserve">
the ratios are relative to the weight of vehicles compared to household 4 wheelers and to the needed syze depending on the type</t>
        </r>
      </text>
    </comment>
    <comment ref="B473" authorId="1" shapeId="0" xr:uid="{00000000-0006-0000-0D00-0000B6000000}">
      <text>
        <r>
          <rPr>
            <b/>
            <sz val="9"/>
            <color indexed="81"/>
            <rFont val="Tahoma"/>
            <family val="2"/>
          </rPr>
          <t>Iñigo:</t>
        </r>
        <r>
          <rPr>
            <sz val="9"/>
            <color indexed="81"/>
            <rFont val="Tahoma"/>
            <family val="2"/>
          </rPr>
          <t xml:space="preserve">
Considering that typical scooters weight around 100 kg, considering the ratio from the 380 kg reported by Sanz (Las Cuentas Ecológicas del Transporte en España, Libros en Acción,  Alfonso Sanz Alduán; Pilar Vega Pindado; Miguel Mateos Arribas, 2014)
battery 100kg scooter / 1276 car 4W  = 0,078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Eggler Lukas</author>
    <author>Gonzalo Parrado Hernando</author>
    <author>tc={EE40E36F-1035-4B5F-9BAD-780126ABF030}</author>
    <author>tc={EE291CE1-906C-4A96-9722-C012D035B86D}</author>
    <author>tc={AA35FA56-555B-477E-B061-DA10D7B205FE}</author>
    <author>tc={04C99ED2-3457-49DE-994A-3B04104ABBAE}</author>
    <author>tc={BE8BAC75-EB26-4FF8-B98F-6E45B5A73CBF}</author>
    <author>tc={312BB407-98A7-435F-9225-86F80E586B2D}</author>
  </authors>
  <commentList>
    <comment ref="C81" authorId="0" shapeId="0" xr:uid="{00000000-0006-0000-0E00-000001000000}">
      <text>
        <r>
          <rPr>
            <b/>
            <sz val="9"/>
            <color indexed="81"/>
            <rFont val="Segoe UI"/>
            <family val="2"/>
          </rPr>
          <t>Eggler Lukas:</t>
        </r>
        <r>
          <rPr>
            <sz val="9"/>
            <color indexed="81"/>
            <rFont val="Segoe UI"/>
            <family val="2"/>
          </rPr>
          <t xml:space="preserve">
insignificant demand</t>
        </r>
      </text>
    </comment>
    <comment ref="C83" authorId="0" shapeId="0" xr:uid="{00000000-0006-0000-0E00-000002000000}">
      <text>
        <r>
          <rPr>
            <b/>
            <sz val="9"/>
            <color indexed="81"/>
            <rFont val="Segoe UI"/>
            <family val="2"/>
          </rPr>
          <t>Eggler Lukas:</t>
        </r>
        <r>
          <rPr>
            <sz val="9"/>
            <color indexed="81"/>
            <rFont val="Segoe UI"/>
            <family val="2"/>
          </rPr>
          <t xml:space="preserve">
smal demand</t>
        </r>
      </text>
    </comment>
    <comment ref="C84" authorId="0" shapeId="0" xr:uid="{00000000-0006-0000-0E00-000003000000}">
      <text>
        <r>
          <rPr>
            <b/>
            <sz val="9"/>
            <color indexed="81"/>
            <rFont val="Segoe UI"/>
            <family val="2"/>
          </rPr>
          <t>Eggler Lukas:</t>
        </r>
        <r>
          <rPr>
            <sz val="9"/>
            <color indexed="81"/>
            <rFont val="Segoe UI"/>
            <family val="2"/>
          </rPr>
          <t xml:space="preserve">
no heat demand</t>
        </r>
      </text>
    </comment>
    <comment ref="C85" authorId="0" shapeId="0" xr:uid="{00000000-0006-0000-0E00-000004000000}">
      <text>
        <r>
          <rPr>
            <b/>
            <sz val="9"/>
            <color indexed="81"/>
            <rFont val="Segoe UI"/>
            <family val="2"/>
          </rPr>
          <t>Eggler Lukas:</t>
        </r>
        <r>
          <rPr>
            <sz val="9"/>
            <color indexed="81"/>
            <rFont val="Segoe UI"/>
            <family val="2"/>
          </rPr>
          <t xml:space="preserve">
no heat demand
</t>
        </r>
      </text>
    </comment>
    <comment ref="C87" authorId="0" shapeId="0" xr:uid="{00000000-0006-0000-0E00-000005000000}">
      <text>
        <r>
          <rPr>
            <b/>
            <sz val="9"/>
            <color indexed="81"/>
            <rFont val="Segoe UI"/>
            <family val="2"/>
          </rPr>
          <t>Eggler Lukas:</t>
        </r>
        <r>
          <rPr>
            <sz val="9"/>
            <color indexed="81"/>
            <rFont val="Segoe UI"/>
            <family val="2"/>
          </rPr>
          <t xml:space="preserve">
insignificant demand</t>
        </r>
      </text>
    </comment>
    <comment ref="C88" authorId="0" shapeId="0" xr:uid="{00000000-0006-0000-0E00-000006000000}">
      <text>
        <r>
          <rPr>
            <b/>
            <sz val="9"/>
            <color indexed="81"/>
            <rFont val="Segoe UI"/>
            <family val="2"/>
          </rPr>
          <t>Eggler Lukas:</t>
        </r>
        <r>
          <rPr>
            <sz val="9"/>
            <color indexed="81"/>
            <rFont val="Segoe UI"/>
            <family val="2"/>
          </rPr>
          <t xml:space="preserve">
low demand, data problems</t>
        </r>
      </text>
    </comment>
    <comment ref="C93" authorId="1" shapeId="0" xr:uid="{00000000-0006-0000-0E00-000007000000}">
      <text>
        <r>
          <rPr>
            <b/>
            <sz val="9"/>
            <color indexed="81"/>
            <rFont val="Tahoma"/>
            <family val="2"/>
          </rPr>
          <t>Gonzalo Parrado Hernando:</t>
        </r>
        <r>
          <rPr>
            <sz val="9"/>
            <color indexed="81"/>
            <rFont val="Tahoma"/>
            <family val="2"/>
          </rPr>
          <t xml:space="preserve">
Average of all HP technologies considered in the Danish Energy Agency spreadsheet (Technology Data for Individual Heating Plants). Data of 2020.</t>
        </r>
      </text>
    </comment>
    <comment ref="D93" authorId="1" shapeId="0" xr:uid="{00000000-0006-0000-0E00-000008000000}">
      <text>
        <r>
          <rPr>
            <b/>
            <sz val="9"/>
            <color indexed="81"/>
            <rFont val="Tahoma"/>
            <family val="2"/>
          </rPr>
          <t>Gonzalo Parrado Hernando:</t>
        </r>
        <r>
          <rPr>
            <sz val="9"/>
            <color indexed="81"/>
            <rFont val="Tahoma"/>
            <family val="2"/>
          </rPr>
          <t xml:space="preserve">
Average of all HP technologies considered in the Danish Energy Agency spreadsheet (Technology Data for Individual Heating Plants). Data of 2020.</t>
        </r>
      </text>
    </comment>
    <comment ref="C104" authorId="1" shapeId="0" xr:uid="{00000000-0006-0000-0E00-000009000000}">
      <text>
        <r>
          <rPr>
            <b/>
            <sz val="9"/>
            <color indexed="81"/>
            <rFont val="Tahoma"/>
            <family val="2"/>
          </rPr>
          <t>Gonzalo Parrado Hernando:</t>
        </r>
        <r>
          <rPr>
            <sz val="9"/>
            <color indexed="81"/>
            <rFont val="Tahoma"/>
            <family val="2"/>
          </rPr>
          <t xml:space="preserve">
Same value in the two electric heating technologies considered in the Danish Energy Agency spreadsheet (Technology Data for Individual Heating Plants). Data of 2020.</t>
        </r>
      </text>
    </comment>
    <comment ref="D104" authorId="1" shapeId="0" xr:uid="{00000000-0006-0000-0E00-00000A000000}">
      <text>
        <r>
          <rPr>
            <b/>
            <sz val="9"/>
            <color indexed="81"/>
            <rFont val="Tahoma"/>
            <family val="2"/>
          </rPr>
          <t>Gonzalo Parrado Hernando:</t>
        </r>
        <r>
          <rPr>
            <sz val="9"/>
            <color indexed="81"/>
            <rFont val="Tahoma"/>
            <family val="2"/>
          </rPr>
          <t xml:space="preserve">
Same value in the two electric heating technologies considered in the Danish Energy Agency spreadsheet (Technology Data for Individual Heating Plants). Data of 2020.</t>
        </r>
      </text>
    </comment>
    <comment ref="A122" authorId="2" shapeId="0" xr:uid="{00000000-0006-0000-0E00-00000B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Data: LCOE calculator of the Danish Energy Agency: 
https://ens.dk/en/our-responsibilities/global-cooperation/levelized-cost-energy-calculator
https://ens.dk/en/our-services/projections-and-models/technology-data/technology-data-generation-electricity-and
https://ens.dk/en/our-services/projections-and-models/technology-data/technology-data-renewable-fuels</t>
      </text>
    </comment>
    <comment ref="DC144" authorId="3" shapeId="0" xr:uid="{00000000-0006-0000-0E00-00000C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https://www.researchgate.net/publication/274636975_San_Giorgio_Group_Report_The_Role_of_Public_Finance_in_Deploying_Geothermal_-_Background_Paper</t>
      </text>
    </comment>
    <comment ref="DC145" authorId="4" shapeId="0" xr:uid="{00000000-0006-0000-0E00-00000D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https://www.irena.org/-/media/Files/IRENA/Agency/Publication/2015/IRENA-ETSAP_Tech_Brief_E06_Hydropower.pdf</t>
      </text>
    </comment>
    <comment ref="DC146" authorId="5" shapeId="0" xr:uid="{00000000-0006-0000-0E00-00000E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https://link.springer.com/chapter/10.1007/978-3-030-86884-0_6</t>
      </text>
    </comment>
    <comment ref="DC150" authorId="6" shapeId="0" xr:uid="{00000000-0006-0000-0E00-00000F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https://link.springer.com/chapter/10.1007/978-3-030-86884-0_6</t>
      </text>
    </comment>
    <comment ref="DC151" authorId="7" shapeId="0" xr:uid="{00000000-0006-0000-0E00-000010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https://www.irena.org/-/media/Files/IRENA/Agency/Publication/2013/IRENA-ETSAP-Tech-Brief-E10-Concentrating-Solar-Power.pdf</t>
      </text>
    </comment>
  </commentList>
</comments>
</file>

<file path=xl/sharedStrings.xml><?xml version="1.0" encoding="utf-8"?>
<sst xmlns="http://schemas.openxmlformats.org/spreadsheetml/2006/main" count="3393" uniqueCount="920">
  <si>
    <t>ENERGY</t>
  </si>
  <si>
    <t>Energy data of the model ( &amp; historic values).</t>
  </si>
  <si>
    <t>HISTORIC VALUES</t>
  </si>
  <si>
    <t>pct CHP plants vs total heat output</t>
  </si>
  <si>
    <t>Dmnl</t>
  </si>
  <si>
    <t>Pct gas in fossil CHP plants</t>
  </si>
  <si>
    <t>Pct solids in fossil CHP plants</t>
  </si>
  <si>
    <t>Pct liquids in fossil CHP plants</t>
  </si>
  <si>
    <t>Historic extraction resources</t>
  </si>
  <si>
    <t>Historical unconv oil</t>
  </si>
  <si>
    <t>EJ/Year</t>
  </si>
  <si>
    <t>Historical unconv gas</t>
  </si>
  <si>
    <t>Share resources by sector</t>
  </si>
  <si>
    <t>Hist share oil Elec</t>
  </si>
  <si>
    <t>Hist share gas vs coal+gas Elec</t>
  </si>
  <si>
    <t>share gas/coal+gas for Elec in 2014</t>
  </si>
  <si>
    <t>share oil/FF for Heat in 2014</t>
  </si>
  <si>
    <t>share oil/FF for Elec in 2015</t>
  </si>
  <si>
    <t>Historic emissions</t>
  </si>
  <si>
    <t>Total GHG Emissions Excluding Land-Use Change and Forestry</t>
  </si>
  <si>
    <t>GtCO2e/Year</t>
  </si>
  <si>
    <t>Total GHG Emissions Including Land-Use Change and Forestry</t>
  </si>
  <si>
    <t>GtCO₂e‍/Year</t>
  </si>
  <si>
    <t>Primary Energy Supply</t>
  </si>
  <si>
    <t>Historic natural gas extraction</t>
  </si>
  <si>
    <t>Historic coal extraction</t>
  </si>
  <si>
    <t>Historic crude oil extraction</t>
  </si>
  <si>
    <t>Historic liquids extraction</t>
  </si>
  <si>
    <t>Historic TPES</t>
  </si>
  <si>
    <t>Historic total RES extraction</t>
  </si>
  <si>
    <t>Annual generation liquids RES</t>
  </si>
  <si>
    <t>Biofuels</t>
  </si>
  <si>
    <t>ktoe/Year</t>
  </si>
  <si>
    <t>Biofuel production 2015</t>
  </si>
  <si>
    <t>Initial value land compet biofuels 2gen ktoe</t>
  </si>
  <si>
    <t>Capacity installed RES for non-commercial heat</t>
  </si>
  <si>
    <t>Historic solid bioE-heat nc</t>
  </si>
  <si>
    <t>TWth</t>
  </si>
  <si>
    <t>Initial value solid bioE for heat nc</t>
  </si>
  <si>
    <t>Historic solar for heat nc</t>
  </si>
  <si>
    <t>Initial value Solar for heat nc</t>
  </si>
  <si>
    <t>Historic geothermal for heat nc</t>
  </si>
  <si>
    <t>Initial value geothermal for heat nc</t>
  </si>
  <si>
    <t>Capacity installed RES for commercial heat</t>
  </si>
  <si>
    <t>Historic solid bioE-heat com</t>
  </si>
  <si>
    <t>Initial value solid bioE for heat com</t>
  </si>
  <si>
    <t>Historic solar for heat com</t>
  </si>
  <si>
    <t>Initial value Solar for heat com</t>
  </si>
  <si>
    <t>Historic geothermal for heat com</t>
  </si>
  <si>
    <t>Initial value geothermal for heat com</t>
  </si>
  <si>
    <t>Others</t>
  </si>
  <si>
    <t>historic nuclear generation TWh</t>
  </si>
  <si>
    <t>TWh</t>
  </si>
  <si>
    <t>Initial gen nuclear</t>
  </si>
  <si>
    <t>Historical efficiency gas for electricity</t>
  </si>
  <si>
    <t>%</t>
  </si>
  <si>
    <t>Initial efficiency gas for electricity</t>
  </si>
  <si>
    <t>Historic electricity consumption</t>
  </si>
  <si>
    <t>TWh/Year</t>
  </si>
  <si>
    <t>Hist share gas vs coal+gas heat</t>
  </si>
  <si>
    <t>share gas/coal+gas for Heat in 2014</t>
  </si>
  <si>
    <t>Historic share liquids for heat plants</t>
  </si>
  <si>
    <t>historic share installed PV urban vs tot PV</t>
  </si>
  <si>
    <t>Annual capacity Electric RES</t>
  </si>
  <si>
    <t>Hydroelectricity withouth PHS</t>
  </si>
  <si>
    <t>TW</t>
  </si>
  <si>
    <t>Initial install cap Hydroelectricity withouth PHS</t>
  </si>
  <si>
    <t>Geothermal</t>
  </si>
  <si>
    <t>Initial install cap Geothermal</t>
  </si>
  <si>
    <t>solid bioenergy for electricity</t>
  </si>
  <si>
    <t>Initial install cap solid bioenergy for electricity</t>
  </si>
  <si>
    <t>Oceanic</t>
  </si>
  <si>
    <t>Initial install cap Oceanic</t>
  </si>
  <si>
    <t>Wind onshore</t>
  </si>
  <si>
    <t>Initial install cap Wind onshore</t>
  </si>
  <si>
    <t>Offshore wind</t>
  </si>
  <si>
    <t>Initial install cap Offshore wind</t>
  </si>
  <si>
    <t>Solar PV</t>
  </si>
  <si>
    <t>Initial install cap Solar PV</t>
  </si>
  <si>
    <t>Solar CSP</t>
  </si>
  <si>
    <t>Initial install cap Solar CSP</t>
  </si>
  <si>
    <t>Non energy use</t>
  </si>
  <si>
    <t>SOLIDS</t>
  </si>
  <si>
    <t>EJ</t>
  </si>
  <si>
    <t>Initial non energy use SOLIDS</t>
  </si>
  <si>
    <t>LIQUIDS</t>
  </si>
  <si>
    <t>Initial non energy use LIQUIDS</t>
  </si>
  <si>
    <t>GASES</t>
  </si>
  <si>
    <t>Initial non energy use GASES</t>
  </si>
  <si>
    <t>ELECTRICITY HEAT</t>
  </si>
  <si>
    <t>Initial non energy use ELECTRICITY HEAT</t>
  </si>
  <si>
    <t>OTHER HISTORIC VARIABLES</t>
  </si>
  <si>
    <t>Historic TPES primary solids biofuels</t>
  </si>
  <si>
    <t>Efficiency Heat plants gas</t>
  </si>
  <si>
    <t>Efficiency elec CHP plants gas</t>
  </si>
  <si>
    <t>Efficiency heat CHP plants gas</t>
  </si>
  <si>
    <t>Efficiency Heat plants coal</t>
  </si>
  <si>
    <t>Efficiency elec CHP plants coal</t>
  </si>
  <si>
    <t>Efficiency heat CHP plants coal</t>
  </si>
  <si>
    <t>Efficiency Heat plants oil</t>
  </si>
  <si>
    <t>Efficiency elec CHP plants oil</t>
  </si>
  <si>
    <t>Efficiency heat CHP plants oil</t>
  </si>
  <si>
    <t>Losses in Charcoal plants EJ</t>
  </si>
  <si>
    <t>Peat EJ</t>
  </si>
  <si>
    <t>Primary energy coal for Elec plants IOT EJ</t>
  </si>
  <si>
    <t>Primary energy coal for Heat plants IOT EJ</t>
  </si>
  <si>
    <t>Primary energy coal for CHP plants IOT EJ</t>
  </si>
  <si>
    <t>Primary energy gas for Elec plants IOT EJ</t>
  </si>
  <si>
    <t>Primary energy gas for Heat plants IOT EJ</t>
  </si>
  <si>
    <t>Primary energy gas for CHP plants IOT EJ</t>
  </si>
  <si>
    <t>Primary energy liquids for Elec plants IOT EJ</t>
  </si>
  <si>
    <t>Primary energy liquids for Heat plants IOT EJ</t>
  </si>
  <si>
    <t>Primary energy liquids for CHP plants IOT EJ</t>
  </si>
  <si>
    <t>% in Elec Production</t>
  </si>
  <si>
    <t>Nuclear Elec</t>
  </si>
  <si>
    <t>Memo Renewables Elec</t>
  </si>
  <si>
    <t>Natural gas Elec</t>
  </si>
  <si>
    <t>Memo Coal,peat and oil shale Elec</t>
  </si>
  <si>
    <t>Memo Primary and secondary oil Elec</t>
  </si>
  <si>
    <t>Fossil fuel CHP Elec</t>
  </si>
  <si>
    <t>Renewables CHP Elec</t>
  </si>
  <si>
    <t>% in Heat production</t>
  </si>
  <si>
    <t>Nuclear Heat</t>
  </si>
  <si>
    <t>Natural gas Heat</t>
  </si>
  <si>
    <t>Memo Coal,peat and oil shale Heat</t>
  </si>
  <si>
    <t>Memo Primary and secondary oil Heat</t>
  </si>
  <si>
    <t>Renewables Heat</t>
  </si>
  <si>
    <t>Fossil Fuel CHP Heat</t>
  </si>
  <si>
    <t>Renewables CHP Heat</t>
  </si>
  <si>
    <t>HISTORIC CONSTANTS</t>
  </si>
  <si>
    <t>Past growth</t>
  </si>
  <si>
    <t>Biofuels past growth</t>
  </si>
  <si>
    <t>1/year</t>
  </si>
  <si>
    <t>1/Year</t>
  </si>
  <si>
    <t>Hydro past capacity growth</t>
  </si>
  <si>
    <t>Geothermal past capacity growth</t>
  </si>
  <si>
    <t>Solid bioE elec</t>
  </si>
  <si>
    <t>Oceanic past capacity growth</t>
  </si>
  <si>
    <t>Wind onshore past capacity growth</t>
  </si>
  <si>
    <t>Wind offshore past capacity growth</t>
  </si>
  <si>
    <t>Solar PV past capacity growth</t>
  </si>
  <si>
    <t>CSP past capacity growth</t>
  </si>
  <si>
    <t>Cumulated NRE extraction 1995</t>
  </si>
  <si>
    <t>past solar growth for heat com</t>
  </si>
  <si>
    <t>past geothermal growth for heat com</t>
  </si>
  <si>
    <t>past solid bioE-heat-com</t>
  </si>
  <si>
    <t>past solar growth for heat-nc</t>
  </si>
  <si>
    <t>past geothermal growth for heat-nc</t>
  </si>
  <si>
    <t>past solid bioE-heat-nc</t>
  </si>
  <si>
    <t>Final before heat correction to primary energy 2015</t>
  </si>
  <si>
    <t>share (Dmnl)</t>
  </si>
  <si>
    <t>MAX EXTRACTION TABLE</t>
  </si>
  <si>
    <t>Type</t>
  </si>
  <si>
    <t>URR (EJ)</t>
  </si>
  <si>
    <t>OIL</t>
  </si>
  <si>
    <t>Maggio12 low conv oil</t>
  </si>
  <si>
    <t>Maggio12 low conv oil URR extraction</t>
  </si>
  <si>
    <t>Maggio12 middle conv oil</t>
  </si>
  <si>
    <t>Maggio12 middle conv oil URR extraction</t>
  </si>
  <si>
    <t>Maggio12 high conv oil</t>
  </si>
  <si>
    <t>Maggio12 high conv oil URR extraction</t>
  </si>
  <si>
    <t>BG mohr15 unconv oil</t>
  </si>
  <si>
    <t>BG mohr15 unconv oil URR extraction</t>
  </si>
  <si>
    <t>High mohr15 unconv oil</t>
  </si>
  <si>
    <t>High mohr15 unconv oil URR extraction</t>
  </si>
  <si>
    <t>Low mohr15 unconv oil</t>
  </si>
  <si>
    <t>Low mohr15 unconv oil URR extraction</t>
  </si>
  <si>
    <t>Laherrère 2006 total oil</t>
  </si>
  <si>
    <t>Laherrère 2006 total oil share of unconv vs Total extraction in 2050</t>
  </si>
  <si>
    <t>Laherrère 2006 total oil URR extraction</t>
  </si>
  <si>
    <t>Laherrère2018 conv oil</t>
  </si>
  <si>
    <t>Laherrère2018 conv oil extraction</t>
  </si>
  <si>
    <t>Laherrère2018 unconv oil</t>
  </si>
  <si>
    <t>Laherrère2018 unconv oil extraction</t>
  </si>
  <si>
    <t>Laherrère2018 total oil</t>
  </si>
  <si>
    <t>Laherrère2018 total oil share of unconv vs Total extraction in 2050</t>
  </si>
  <si>
    <t>Laherrère2018 total oil extraction</t>
  </si>
  <si>
    <t>GAS</t>
  </si>
  <si>
    <t>Low Mohr2015 conv gas</t>
  </si>
  <si>
    <t>Low Mohr2015 conv gas extraction</t>
  </si>
  <si>
    <t>High Mohr2015 conv gas</t>
  </si>
  <si>
    <t>High Mohr2015 conv gas extraction</t>
  </si>
  <si>
    <t>BG Mohr2015 conv gas</t>
  </si>
  <si>
    <t>BG Mohr2015 conv gas extraction</t>
  </si>
  <si>
    <t>BG Mohr15 unconv gas</t>
  </si>
  <si>
    <t>BG Mohr15 unconv gas extraction</t>
  </si>
  <si>
    <t>High Mohr15 unconv gas</t>
  </si>
  <si>
    <t>High Mohr15 unconv gas extraction</t>
  </si>
  <si>
    <t>Low Mohr15 unconv gas</t>
  </si>
  <si>
    <t>Low Mohr15 unconv gas extraction</t>
  </si>
  <si>
    <t>Laherrère10 total gas</t>
  </si>
  <si>
    <t>Laherrère10 total gas share of unconv vs Total extraction in 2050</t>
  </si>
  <si>
    <t>Laherrère10 total gas extraction</t>
  </si>
  <si>
    <t>Mohr12 BG total gas</t>
  </si>
  <si>
    <t>Mohr12 BG total gas share of unconv vs Total extraction in 2050</t>
  </si>
  <si>
    <t>Mohr12 BG total gas extraction</t>
  </si>
  <si>
    <t>Laherrère2018 total gas</t>
  </si>
  <si>
    <t>Laherrère2018 total gas share of unconv vs Total extraction in 2050</t>
  </si>
  <si>
    <t>Laherrère2018 total gas extraction</t>
  </si>
  <si>
    <t>COAL</t>
  </si>
  <si>
    <t>mohr12 coal</t>
  </si>
  <si>
    <t>mohr12 coal extraction</t>
  </si>
  <si>
    <t>Low Mohr2015 coal</t>
  </si>
  <si>
    <t>Low Mohr2015 coal extraction</t>
  </si>
  <si>
    <t>BG Mohr2015 coal</t>
  </si>
  <si>
    <t>BG Mohr2015 coal extraction</t>
  </si>
  <si>
    <t>High Mohr2015 coal</t>
  </si>
  <si>
    <t>High Mohr2015 coal extraction</t>
  </si>
  <si>
    <t>URANIUM</t>
  </si>
  <si>
    <t>Zittel12 uranium</t>
  </si>
  <si>
    <t>Zittel12 uranium extraction</t>
  </si>
  <si>
    <t>EWG13 Uranium</t>
  </si>
  <si>
    <t>EWG13 Uranium extraction</t>
  </si>
  <si>
    <t>RENEWABLE &amp; NUCLEAR ENERGY PARAMETERS</t>
  </si>
  <si>
    <t xml:space="preserve">power density </t>
  </si>
  <si>
    <t>life time</t>
  </si>
  <si>
    <t xml:space="preserve">gCO2e per kWh </t>
  </si>
  <si>
    <t>CF initial</t>
  </si>
  <si>
    <t>time planification</t>
  </si>
  <si>
    <t>time construction</t>
  </si>
  <si>
    <t>RES elec evolve</t>
  </si>
  <si>
    <t>min CF</t>
  </si>
  <si>
    <t>EROIst initial</t>
  </si>
  <si>
    <t>TWe/Mha</t>
  </si>
  <si>
    <t>year</t>
  </si>
  <si>
    <t>gCO2e/kWh</t>
  </si>
  <si>
    <t>years</t>
  </si>
  <si>
    <t>Solid bioenergy for electricity</t>
  </si>
  <si>
    <t>-</t>
  </si>
  <si>
    <t>Wind offshore</t>
  </si>
  <si>
    <t>Hydro</t>
  </si>
  <si>
    <t>CF (Dmnl)</t>
  </si>
  <si>
    <t>Nuclear</t>
  </si>
  <si>
    <t>CSP</t>
  </si>
  <si>
    <t>solar for heat</t>
  </si>
  <si>
    <t>geothermal for heat</t>
  </si>
  <si>
    <t>Solid bioenergy for heat</t>
  </si>
  <si>
    <t>Power density Hydro (Twe/Mha)</t>
  </si>
  <si>
    <t>EROI initial Hydro (Dmnl)</t>
  </si>
  <si>
    <t>OTHER PARAMETERS</t>
  </si>
  <si>
    <t>Energy shares by sector</t>
  </si>
  <si>
    <t xml:space="preserve">Solar </t>
  </si>
  <si>
    <t>share trad biomass vs solids in households</t>
  </si>
  <si>
    <t>Average global irradiance</t>
  </si>
  <si>
    <t>We/m2</t>
  </si>
  <si>
    <t>Auxiliary metabolic EROI</t>
  </si>
  <si>
    <t>Performance ratio over park's lifetime (f2)</t>
  </si>
  <si>
    <t>Years</t>
  </si>
  <si>
    <t>Land occupation ratio (f3)</t>
  </si>
  <si>
    <t>Cell efficiency conversion of solar PV.</t>
  </si>
  <si>
    <t>Efficiencies</t>
  </si>
  <si>
    <t>Working hours per day</t>
  </si>
  <si>
    <t>hours</t>
  </si>
  <si>
    <t>Efficiency solar panels for heat</t>
  </si>
  <si>
    <t>Efficiency conversion geot PE to Elec</t>
  </si>
  <si>
    <t>Losses solar for heat</t>
  </si>
  <si>
    <t>Efficiency conversion BioE plants to heat</t>
  </si>
  <si>
    <t>Efficiency geothermal for heat</t>
  </si>
  <si>
    <t>Efficiency conversion bioE to Elec</t>
  </si>
  <si>
    <t>Capacity EV battery</t>
  </si>
  <si>
    <t>MW</t>
  </si>
  <si>
    <t>min lifetime EV batteries</t>
  </si>
  <si>
    <t>Sensitivity scarcity opcions</t>
  </si>
  <si>
    <t>Round-trip storage efficiency EV batteries</t>
  </si>
  <si>
    <t>Low</t>
  </si>
  <si>
    <t>Efficiency improvement 3gen</t>
  </si>
  <si>
    <t>CF EV batteries</t>
  </si>
  <si>
    <t>Medium</t>
  </si>
  <si>
    <t>Net stored energy EV battery over lifetime</t>
  </si>
  <si>
    <t>MJ</t>
  </si>
  <si>
    <t>High</t>
  </si>
  <si>
    <t>Wattios per battery EV</t>
  </si>
  <si>
    <t>kW/battery</t>
  </si>
  <si>
    <t>Pumped hydro storage (PHS)</t>
  </si>
  <si>
    <t>Decommissiong time nuclear</t>
  </si>
  <si>
    <t>Year</t>
  </si>
  <si>
    <t>Round-trip storage efficiency PHS</t>
  </si>
  <si>
    <t>max lifetime EV batteries</t>
  </si>
  <si>
    <t>CF PHS</t>
  </si>
  <si>
    <t>Transport Households parameters</t>
  </si>
  <si>
    <t>Materials</t>
  </si>
  <si>
    <t>4w vehicle average price</t>
  </si>
  <si>
    <t>Dollars</t>
  </si>
  <si>
    <t>2w vehicle average price</t>
  </si>
  <si>
    <t>ebike average price</t>
  </si>
  <si>
    <t>occupancy rate 4w vehicle</t>
  </si>
  <si>
    <t>occupancy rate 2w vehicle</t>
  </si>
  <si>
    <t>occupancy rate ebike</t>
  </si>
  <si>
    <t>weitgh of 4w in demand of Transport Equip.</t>
  </si>
  <si>
    <t>weitgh of 4w in demand of Sale Maintenan.</t>
  </si>
  <si>
    <t>EROI NRE fuels</t>
  </si>
  <si>
    <t>conventional oil</t>
  </si>
  <si>
    <t>unconventional oil</t>
  </si>
  <si>
    <t>conventional gas</t>
  </si>
  <si>
    <t>unconventional gas</t>
  </si>
  <si>
    <t>coal</t>
  </si>
  <si>
    <t>uranium</t>
  </si>
  <si>
    <t>Land use</t>
  </si>
  <si>
    <t>Global arable land</t>
  </si>
  <si>
    <t>MHa</t>
  </si>
  <si>
    <t>Adjustment</t>
  </si>
  <si>
    <t>urban surface 2008</t>
  </si>
  <si>
    <t>adjust energy for transport to inland transport</t>
  </si>
  <si>
    <t>Oil refinery gains share</t>
  </si>
  <si>
    <t>Parameters to adjust the modelling of new capacities</t>
  </si>
  <si>
    <t>threshold abund</t>
  </si>
  <si>
    <t>threshold remaining potential new capacity</t>
  </si>
  <si>
    <t>dmnl</t>
  </si>
  <si>
    <t>Maximum auxiliar interexchange</t>
  </si>
  <si>
    <t>Maximum auxiliar interexchange heat</t>
  </si>
  <si>
    <t>Maximum auxiliar interexchange elec</t>
  </si>
  <si>
    <t>estas senstivity y switches deberían ir juntas van de lo mismo</t>
  </si>
  <si>
    <t>Unlimited factor energy availability</t>
  </si>
  <si>
    <t>Unlimited URR NRE</t>
  </si>
  <si>
    <t>exponent availability conv oil</t>
  </si>
  <si>
    <t>exponent availability conv gas</t>
  </si>
  <si>
    <t>by default ratio energy cons recycled vs virgin minerals</t>
  </si>
  <si>
    <t>switch scarcity PS heat substit(1:activated;0:deactivated)</t>
  </si>
  <si>
    <t>switch scarcity PS elec substit(1:activated;0:deactivated</t>
  </si>
  <si>
    <t>cumulated unconv oil extraction to 2005</t>
  </si>
  <si>
    <t>cumulated conv oil extraction to 2005</t>
  </si>
  <si>
    <t>cumulated conv gas extraction to 2005</t>
  </si>
  <si>
    <t>cumulated unconv gas extraction to 2005</t>
  </si>
  <si>
    <t>cumulated coal extraction to 2005</t>
  </si>
  <si>
    <t>cumulated uranium extraction to 2005</t>
  </si>
  <si>
    <t>Final consumption expenditure by households</t>
  </si>
  <si>
    <t>Private Households with Employed Persons</t>
  </si>
  <si>
    <t>Other Community, Social and Personal Services</t>
  </si>
  <si>
    <t>Health and Social Work</t>
  </si>
  <si>
    <t>Education</t>
  </si>
  <si>
    <t>Public Admin and Defence; Compulsory Social Security</t>
  </si>
  <si>
    <t>Renting of M&amp;Eq and Other Business Activities</t>
  </si>
  <si>
    <t>Real Estate Activities</t>
  </si>
  <si>
    <t>Financial Intermediation</t>
  </si>
  <si>
    <t>Post and Telecommunications</t>
  </si>
  <si>
    <t>Other Supporting and Auxiliary Transport Activities; Activities of Travel Agencies</t>
  </si>
  <si>
    <t>Air Transport</t>
  </si>
  <si>
    <t>Water Transport</t>
  </si>
  <si>
    <t>Inland Transport</t>
  </si>
  <si>
    <t>Hotels and Restaurants</t>
  </si>
  <si>
    <t>Retail Trade, Except of Motor Vehicles and Motorcycles; Repair of Household Goods</t>
  </si>
  <si>
    <t>Wholesale Trade and Commission Trade, Except of Motor Vehicles and Motorcycles</t>
  </si>
  <si>
    <t>Sale, Maintenance and Repair of Motor Vehicles and Motorcycles; Retail Sale of Fuel</t>
  </si>
  <si>
    <t>Construction</t>
  </si>
  <si>
    <t>Electricity, Gas and Water Supply</t>
  </si>
  <si>
    <t>Manufacturing, Nec; Recycling</t>
  </si>
  <si>
    <t>Transport Equipment</t>
  </si>
  <si>
    <t>Electrical and Optical Equipment</t>
  </si>
  <si>
    <t>Machinery, Nec</t>
  </si>
  <si>
    <t>Basic Metals and Fabricated Metal</t>
  </si>
  <si>
    <t>Other Non-Metallic Mineral</t>
  </si>
  <si>
    <t>Rubber and Plastics</t>
  </si>
  <si>
    <t>Chemicals and Chemical Products</t>
  </si>
  <si>
    <t>Coke, Refined Petroleum and Nuclear Fuel</t>
  </si>
  <si>
    <t>Pulp, Paper, Paper , Printing and Publishing</t>
  </si>
  <si>
    <t>Wood and Products of Wood and Cork</t>
  </si>
  <si>
    <t>Leather, Leather and Footwear</t>
  </si>
  <si>
    <t>Textiles and Textile Products</t>
  </si>
  <si>
    <t>Food, Beverages and Tobacco</t>
  </si>
  <si>
    <t>Mining and Quarrying</t>
  </si>
  <si>
    <t>Agriculture, Hunting, Forestry and Fishing</t>
  </si>
  <si>
    <t>Solids</t>
  </si>
  <si>
    <t>Gases</t>
  </si>
  <si>
    <t>Liquids</t>
  </si>
  <si>
    <t>Heat</t>
  </si>
  <si>
    <t>Electricity</t>
  </si>
  <si>
    <t>Initial global energy 
intensity by sector 2009</t>
  </si>
  <si>
    <t>Minimum fraction of this source</t>
  </si>
  <si>
    <t>Maximun yearly aceleration of  energy intensity improvement</t>
  </si>
  <si>
    <t>Max yearly change between sources</t>
  </si>
  <si>
    <t>Initial intensity 2005 (EJ/T$1995)</t>
  </si>
  <si>
    <t>Historical mean rate Intensity (OLS)</t>
  </si>
  <si>
    <t>historic final energy intensity by sector (EJ / T$1995)</t>
  </si>
  <si>
    <t>ELEC</t>
  </si>
  <si>
    <t>HEAT</t>
  </si>
  <si>
    <t>Exponents defining the speed of change of sectoral final energy intensities</t>
  </si>
  <si>
    <t>exp slow evolution improve efficiency H</t>
  </si>
  <si>
    <t>exp rapid evolution improve efficiency H</t>
  </si>
  <si>
    <t>exp slow evolution change energy H</t>
  </si>
  <si>
    <t>exp rapid evolution change energy H</t>
  </si>
  <si>
    <t>exp slow evolution improve efficiency sectors</t>
  </si>
  <si>
    <t>exp rapid evolution improve efficiency sectors</t>
  </si>
  <si>
    <t>exp slow evolution change energy sectors</t>
  </si>
  <si>
    <t>exp rapid evolution change energy sectors</t>
  </si>
  <si>
    <t>PROCESS__SUPPLY_SECTOR_OWN_CONSUMPTION_I│EJ</t>
  </si>
  <si>
    <t>_MATRIX: transmission_losses_required_shares (FINAL_ENERGIES_I, PROCESS_SUPPLY_TRANSMISSION_I)</t>
  </si>
  <si>
    <t>storage_losses_required_per_process</t>
  </si>
  <si>
    <t>_VECTOR(storage_losses_required_per_process, PROCESS_SUPPLY_STORAGES_I)</t>
  </si>
  <si>
    <t>PROCESS_TRANSFORMATION_I | % / yr</t>
  </si>
  <si>
    <t>prcref1_refinery_bio</t>
  </si>
  <si>
    <t>prcref2_refinery_coal</t>
  </si>
  <si>
    <t>prcref3_refinery_oil</t>
  </si>
  <si>
    <t>prcref4_transformation_PE_coal_2_TI_solid_fossil</t>
  </si>
  <si>
    <t>prcref5_transformation_PE_forestry_products_2_TI_solid_bio</t>
  </si>
  <si>
    <t>prcref6_transformation_PE_natural_gas_2_TI_gas_fossil</t>
  </si>
  <si>
    <t>prcref7_transformation_PE_natural_gas_2_TI_hydrogen</t>
  </si>
  <si>
    <t>prcref8_no_process_PE_geothermal</t>
  </si>
  <si>
    <t>_MATRIX: transformation_input_required_shares_of_process_and_commodity (PROCESS_TRANSFORMATION_I, TRANSFORMATION_INPUT_I)</t>
  </si>
  <si>
    <t>_MATRIX: process_refinery_required_shares_of_process_and_commodity_max (TRANSFORMATION_INPUT_I, PROCESS__REFINERY_I)</t>
  </si>
  <si>
    <t>TRANSFORMATION INPUT I | % / yr</t>
  </si>
  <si>
    <t>PROCESS  REFINERY I | % / yr</t>
  </si>
  <si>
    <t>prcref9_no_process_PE_hydropower</t>
  </si>
  <si>
    <t>prcref10_no_process_PE_nuclear</t>
  </si>
  <si>
    <t>prcref11_no_process_PE_oceanic</t>
  </si>
  <si>
    <t>prcref12_no_process_PE_solar</t>
  </si>
  <si>
    <t>prcref13_no_process_PE_waste</t>
  </si>
  <si>
    <t>prcref14_no_process_PE_wind</t>
  </si>
  <si>
    <t>EU27</t>
  </si>
  <si>
    <t>CHINA</t>
  </si>
  <si>
    <t>UK</t>
  </si>
  <si>
    <t>EASOC</t>
  </si>
  <si>
    <t>INDIA</t>
  </si>
  <si>
    <t>LATAM</t>
  </si>
  <si>
    <t>RUSSIA</t>
  </si>
  <si>
    <t>LROW</t>
  </si>
  <si>
    <t>PROCESS TRANSFORMATION I</t>
  </si>
  <si>
    <t>conversion_efficiencies</t>
  </si>
  <si>
    <t>_VECTOR: conversion_efficiency_per_refinery_process (PROCESS__REFINERY_I, )</t>
  </si>
  <si>
    <t>PROCESS_SUPPLY_STORAGES_I│dmnl / yr</t>
  </si>
  <si>
    <t>dmnl / yr</t>
  </si>
  <si>
    <t>_MATRIX: primary_energy_shares_of_process_and_commodity (PROCESS__REFINERY_I, PRIMARY_ENERGIES_I)</t>
  </si>
  <si>
    <t>PROCESS TRANSFORMATION I | dmnl /yr</t>
  </si>
  <si>
    <t>Historical values of capacity developments &amp; lifetime</t>
  </si>
  <si>
    <t>FINAL_ENERGIES_I_TRANSMISSION | dmnl / yr</t>
  </si>
  <si>
    <t>EJ / yr</t>
  </si>
  <si>
    <t>PROCESS_SUPPLY_STORAGES_I│EJ / yr</t>
  </si>
  <si>
    <t>_VECTOR(IMV_annual_operating_hours_maximum_per_transformation_process(PROCESS TRANSFORATION I))</t>
  </si>
  <si>
    <t>From capacity factor</t>
  </si>
  <si>
    <t>TO_elec</t>
  </si>
  <si>
    <t>PRCSUP_storage_losses_TO_elec</t>
  </si>
  <si>
    <t>PRCSUP_storage_losses_TO_gas_fuel</t>
  </si>
  <si>
    <t>PRCSUP_storage_losses_TO_heat</t>
  </si>
  <si>
    <t>TO_heat</t>
  </si>
  <si>
    <t>TO_hydrogen</t>
  </si>
  <si>
    <t>TI_gas_bio</t>
  </si>
  <si>
    <t>TI_gas_fossil</t>
  </si>
  <si>
    <t>TI_geothermal</t>
  </si>
  <si>
    <t>TI_hydrogen</t>
  </si>
  <si>
    <t>TI_hydropower</t>
  </si>
  <si>
    <t>TI_liquid_bio</t>
  </si>
  <si>
    <t>TI_liquid_fossil</t>
  </si>
  <si>
    <t>TI_nuclear</t>
  </si>
  <si>
    <t>TI_oceanic</t>
  </si>
  <si>
    <t>TI_solar</t>
  </si>
  <si>
    <t>TI_solid_bio</t>
  </si>
  <si>
    <t>TI_solid_fossil</t>
  </si>
  <si>
    <t>TI_waste</t>
  </si>
  <si>
    <t>TI_wind</t>
  </si>
  <si>
    <t>CHP_gas_fuels</t>
  </si>
  <si>
    <t>CHP_geothermal</t>
  </si>
  <si>
    <t>CHP_waste</t>
  </si>
  <si>
    <t>CHP_liquid_fuels</t>
  </si>
  <si>
    <t>CHP_gas_fuels_CCS</t>
  </si>
  <si>
    <t>PP_gas_fuels</t>
  </si>
  <si>
    <t>PP_liquid_fuels</t>
  </si>
  <si>
    <t>PP_waste</t>
  </si>
  <si>
    <t>PP_hydropower_run_of_river</t>
  </si>
  <si>
    <t>PP_hydropower_dammed</t>
  </si>
  <si>
    <t>PP_nuclear</t>
  </si>
  <si>
    <t>PP_oceanic</t>
  </si>
  <si>
    <t>PP_solar_CSP</t>
  </si>
  <si>
    <t>PP_solar_urban_PV</t>
  </si>
  <si>
    <t>PP_solar_PV</t>
  </si>
  <si>
    <t>PP_geothermal</t>
  </si>
  <si>
    <t>PP_wind_onshore</t>
  </si>
  <si>
    <t>PP_wind_offshore</t>
  </si>
  <si>
    <t>PP_gas_fuels_CCS</t>
  </si>
  <si>
    <t>PP_liquid_fuels_CCS</t>
  </si>
  <si>
    <t>PP_waste_CCS</t>
  </si>
  <si>
    <t>annual_expansion by_technology (MW)</t>
  </si>
  <si>
    <t>_VECTOR(supply_processes, PROCESS_SUPPLY_STORAGES_I)</t>
  </si>
  <si>
    <t>_VECTOR(sector_own_consumption_required_per_process, PROCESS_SUPPLY_I)</t>
  </si>
  <si>
    <t>technologies.utilization</t>
  </si>
  <si>
    <t>Date</t>
  </si>
  <si>
    <t>leg</t>
  </si>
  <si>
    <t>name</t>
  </si>
  <si>
    <t>what</t>
  </si>
  <si>
    <t>Changed all matrix dimensions to remove TO_liquid_bio and PRCTRA_no_process_TI_liquid_bio</t>
  </si>
  <si>
    <t>also deletet subscripts from sheet "subscript"</t>
  </si>
  <si>
    <t>Weighting factor</t>
  </si>
  <si>
    <t>_Weight(scenario_switch_for_utilization_allocation_priorities(PRIMARY_ENERGIES_I))</t>
  </si>
  <si>
    <t>Technology Utilization Priorities - Policy weight</t>
  </si>
  <si>
    <t>Technology Utilization Priorities - Endogenous weight</t>
  </si>
  <si>
    <t>_VECTOR(PROTRA_technology_utilization_priorities)</t>
  </si>
  <si>
    <t>deleted old matrix-style technology utilization allcation priority matrix, replaced it by vector</t>
  </si>
  <si>
    <t>Energy Sector own consumption EXCLUDING storage losses (Share of FE)</t>
  </si>
  <si>
    <t>PROSUP_sector_energy_own_consumption_TO_elec</t>
  </si>
  <si>
    <t>PROSUP_sector_energy_own_consumption_TO_gas_fuel</t>
  </si>
  <si>
    <t>PROSUP_sector_energy_own_consumption_TO_heat</t>
  </si>
  <si>
    <t>PROSUP_sector_energy_own_consumption_TO_liquid_conventional</t>
  </si>
  <si>
    <t>PROSUP_transmission_losses_TO_elec</t>
  </si>
  <si>
    <t>PROSUP_transmission_losses_TO_gas_fuel</t>
  </si>
  <si>
    <t>PROSUP_transmission_losses_TO_heat</t>
  </si>
  <si>
    <t>Transmission losses (Share of FE)</t>
  </si>
  <si>
    <t>TO_gas</t>
  </si>
  <si>
    <t>TO_liquid</t>
  </si>
  <si>
    <t>TO_solid_bio</t>
  </si>
  <si>
    <t>TO_solid_fossil</t>
  </si>
  <si>
    <t>PROTRA_CHP_gas_fuels</t>
  </si>
  <si>
    <t>PROTRA_CHP_gas_fuels_CCS</t>
  </si>
  <si>
    <t>PROTRA_CHP_geothermal</t>
  </si>
  <si>
    <t>PROTRA_CHP_liquid_fuels</t>
  </si>
  <si>
    <t>PROTRA_CHP_waste</t>
  </si>
  <si>
    <t>PROTRA_HP_gas_fuels</t>
  </si>
  <si>
    <t>PROTRA_HP_geothermal</t>
  </si>
  <si>
    <t>PROTRA_HP_liquid_fuels</t>
  </si>
  <si>
    <t>PROTRA_HP_solar</t>
  </si>
  <si>
    <t>PROTRA_HP_waste</t>
  </si>
  <si>
    <t>PROTRA_PP_gas_fuels</t>
  </si>
  <si>
    <t>PROTRA_PP_gas_fuels_CCS</t>
  </si>
  <si>
    <t>PROTRA_PP_geothermal</t>
  </si>
  <si>
    <t>PROTRA_PP_hydropower_dammed</t>
  </si>
  <si>
    <t>PROTRA_PP_hydropower_run_of_river</t>
  </si>
  <si>
    <t>PROTRA_PP_liquid_fuels</t>
  </si>
  <si>
    <t>PROTRA_PP_liquid_fuels_CCS</t>
  </si>
  <si>
    <t>PROTRA_PP_nuclear</t>
  </si>
  <si>
    <t>PROTRA_PP_oceanic</t>
  </si>
  <si>
    <t>PROTRA_PP_solar_CSP</t>
  </si>
  <si>
    <t>PROTRA_PP_solar_urban_PV</t>
  </si>
  <si>
    <t>PROTRA_PP_waste</t>
  </si>
  <si>
    <t>PROTRA_PP_waste_CCS</t>
  </si>
  <si>
    <t>PROTRA_PP_wind_offshore</t>
  </si>
  <si>
    <t>PROTRA_PP_wind_onshore</t>
  </si>
  <si>
    <t>PROTRA_blending_gas_fuels</t>
  </si>
  <si>
    <t>PROTRA_no_process_TI_hydrogen</t>
  </si>
  <si>
    <t>PROTRA_no_process_TI_solid_bio</t>
  </si>
  <si>
    <t>PROTRA_no_process_TI_solid_fossil</t>
  </si>
  <si>
    <t>PROREF11_no_process_PE_oceanic</t>
  </si>
  <si>
    <t>PROREF_refinery_bio</t>
  </si>
  <si>
    <t>PROREF_refinery_coal</t>
  </si>
  <si>
    <t>PROREF_refinery_oil</t>
  </si>
  <si>
    <t>PROREF_PE_coal_2_TI_solid_fossil</t>
  </si>
  <si>
    <t>PROREF_PE_forestry_products_2_TI_solid_bio</t>
  </si>
  <si>
    <t>PROREF_PE_natural_gas_2_TI_gas_fossil</t>
  </si>
  <si>
    <t>PROREF_PE_natural_gas_2_TI_hydrogen</t>
  </si>
  <si>
    <t>PROREF_no_process_PE_geothermal</t>
  </si>
  <si>
    <t>PROREF_no_process_PE_hydropower</t>
  </si>
  <si>
    <t>PROREF_no_process_PE_nuclear</t>
  </si>
  <si>
    <t>PROREF_no_process_PE_solar</t>
  </si>
  <si>
    <t>PROREF_no_process_PE_waste</t>
  </si>
  <si>
    <t>PROREF_no_process_PE_wind</t>
  </si>
  <si>
    <t>PROREF_transformation_PE_coal_2_TI_solid_fossil</t>
  </si>
  <si>
    <t>PROREF_transformation_PE_forestry_products_2_TI_solid_bio</t>
  </si>
  <si>
    <t>PROREF_transformation_PE_natural_gas_2_TI_gas_fossil</t>
  </si>
  <si>
    <t>PROREF_transformation_PE_natural_gas_2_TI_hydrogen</t>
  </si>
  <si>
    <t>PROREF_no_process_PE_oceanic</t>
  </si>
  <si>
    <t>technologies.capacities</t>
  </si>
  <si>
    <t>hr/year</t>
  </si>
  <si>
    <t>max. annual operating hours</t>
  </si>
  <si>
    <t>max. annual capacity growth rate</t>
  </si>
  <si>
    <t>trasformation</t>
  </si>
  <si>
    <t>changed TO_liquid/PROTRA_Liquid_blending  depreciation time bug (10yr--&gt;100000yr)</t>
  </si>
  <si>
    <t>updated capacities for all regions (Row 169-210)</t>
  </si>
  <si>
    <t>changing dimensions of PROSUP vectors to add elec_2_hydrogen; changing TO to FC (no implication, only column naming)</t>
  </si>
  <si>
    <t>PROSUP_elec_2_hydrogen</t>
  </si>
  <si>
    <t>_VECTOR(PARAMETER,PV_SOLAR_TECHNOLOGY_I)</t>
  </si>
  <si>
    <t>EFFICIENCES_MAX_PV_TECHNOLOGY</t>
  </si>
  <si>
    <t>MANUFACTURING_ENERGY_OF_PV_PANELS</t>
  </si>
  <si>
    <t>INITIAL_SHARE_WEIGHTS_PV_TECHNOLOGIES</t>
  </si>
  <si>
    <r>
      <t>PV_SOLAR_TECHNOLOGY_I</t>
    </r>
    <r>
      <rPr>
        <sz val="11"/>
        <rFont val="Calibri"/>
        <family val="2"/>
      </rPr>
      <t>│</t>
    </r>
    <r>
      <rPr>
        <sz val="11"/>
        <rFont val="Calibri"/>
        <family val="2"/>
        <scheme val="minor"/>
      </rPr>
      <t>UNIT</t>
    </r>
  </si>
  <si>
    <t>DMNL</t>
  </si>
  <si>
    <t>MJ/MW</t>
  </si>
  <si>
    <t>C_Si_mono</t>
  </si>
  <si>
    <t>C_Si_poly</t>
  </si>
  <si>
    <t>CdTe</t>
  </si>
  <si>
    <t>CIGS</t>
  </si>
  <si>
    <t>_SCALAR(PARAMETER)</t>
  </si>
  <si>
    <t>MACHINING_RATE_PV</t>
  </si>
  <si>
    <t>OL_PV</t>
  </si>
  <si>
    <t>CURRENT_GRIDS_O_AND_M_PV_TECHNOLOGIES_ENERGY</t>
  </si>
  <si>
    <t>DECOMISSIONING_ENERGY_RATIO_PV_TECHNOLOGIES</t>
  </si>
  <si>
    <t>UNIT</t>
  </si>
  <si>
    <t>_VALUE</t>
  </si>
  <si>
    <t>REGIONS_9_I</t>
  </si>
  <si>
    <t xml:space="preserve">USMCA </t>
  </si>
  <si>
    <t>_VECTOR(NRG_TO_I)</t>
  </si>
  <si>
    <t>_MATRIX:CORRESPONDENCE_MATRIX_TO_INPUT_OUTPUT_PROSUP_H2_PER_COMMODITY(PROSUP_H2_I;NRG_TO_I)</t>
  </si>
  <si>
    <t>deleted storage losses (electric endogenous now - others we dont have emprical values anyway)</t>
  </si>
  <si>
    <t>transmission losses parametrized acc. To IEA-2015-data</t>
  </si>
  <si>
    <t>PROSUP_sector_energy_own_consumpiton_TO_solid_fossil</t>
  </si>
  <si>
    <t>PROTRA_CHP_solid_fossil</t>
  </si>
  <si>
    <t>PROTRA_CHP_solid_fossil_CCS</t>
  </si>
  <si>
    <t>PROTRA_HP_solid_bio</t>
  </si>
  <si>
    <t>PROTRA_CHP_solid_bio</t>
  </si>
  <si>
    <t>PROTRA_PP_solid_bio</t>
  </si>
  <si>
    <t>PROTRA_PP_solid_fossil</t>
  </si>
  <si>
    <t>PROTRA_PP_solid_fossil_CCS</t>
  </si>
  <si>
    <t>PROTRA_HP_solid_fossil</t>
  </si>
  <si>
    <t>PROTRA_CHP_liquid_fuels_CCS</t>
  </si>
  <si>
    <t>PROTRA_CHP_solid_bio_CCS</t>
  </si>
  <si>
    <t>PROTRA_PP_solid_bio_CCS</t>
  </si>
  <si>
    <t>PROTRA_blending_liquid_fuels</t>
  </si>
  <si>
    <t>CHP_liquid_fuels_CCS</t>
  </si>
  <si>
    <t>CHP_solid_fossil</t>
  </si>
  <si>
    <t>CHP_solid_fossil_CCS</t>
  </si>
  <si>
    <t>CHP_solid_bio</t>
  </si>
  <si>
    <t>CHP_solid_bio_CCS</t>
  </si>
  <si>
    <t>HP_gas_fuels</t>
  </si>
  <si>
    <t>HP_solid_bio</t>
  </si>
  <si>
    <t>HP_geothermal</t>
  </si>
  <si>
    <t>HP_liquid_fuels</t>
  </si>
  <si>
    <t>HP_solar</t>
  </si>
  <si>
    <t>HP_solid_fossil</t>
  </si>
  <si>
    <t>HP_waste</t>
  </si>
  <si>
    <t>PP_solid_bio</t>
  </si>
  <si>
    <t>PP_solid_bio_CCS</t>
  </si>
  <si>
    <t>PP_solid_fossil</t>
  </si>
  <si>
    <t>PP_solid_fossil_CCS</t>
  </si>
  <si>
    <t>blending_gas_fuels</t>
  </si>
  <si>
    <t>blending_liquid_fuels</t>
  </si>
  <si>
    <t>no_process_TI_hydrogen</t>
  </si>
  <si>
    <t>no_process_TI_solid_bio</t>
  </si>
  <si>
    <t>no_process_TI_solid_fossil</t>
  </si>
  <si>
    <t>leg/BFE</t>
  </si>
  <si>
    <t>max expansion:</t>
  </si>
  <si>
    <t>fossils: 0.1</t>
  </si>
  <si>
    <t>geothermal: 0.25</t>
  </si>
  <si>
    <t>waste: 0.25</t>
  </si>
  <si>
    <t>res-fuel driven: 0.25</t>
  </si>
  <si>
    <t>solar pv urban: 0.4</t>
  </si>
  <si>
    <t>solar pv non urbn: 0.35</t>
  </si>
  <si>
    <t>wind onshore: 0.35</t>
  </si>
  <si>
    <t>wind offshore: 0.3</t>
  </si>
  <si>
    <t>nuclear: 0.05</t>
  </si>
  <si>
    <t>all HP: 0.3</t>
  </si>
  <si>
    <t xml:space="preserve">updated full load hours and max growth rates
set nuclear lifetime to 100 for all regions
</t>
  </si>
  <si>
    <t>_MATRIX:SHARE_PV_BEFORE_2020(YEAR,PV_SOLAR_TECHNOLOGY_I)</t>
  </si>
  <si>
    <t>PV_SOLAR_TECHNOLOGY_I│DMNL</t>
  </si>
  <si>
    <t>SURFACE_PV_PANEL</t>
  </si>
  <si>
    <t>m2</t>
  </si>
  <si>
    <t>SELECT_EROI_BOUNDARY</t>
  </si>
  <si>
    <t>SELECT LOGIT MODEL EV BATTERIES SUBTECH ALLOCATION</t>
  </si>
  <si>
    <t>_VECTOR(PARAMETER,EV_BATTERIES_I)</t>
  </si>
  <si>
    <t>INITIAL_SHARE_WEIGHTS_EVS_BATTERIES</t>
  </si>
  <si>
    <r>
      <t>EV_BATTERIES_I</t>
    </r>
    <r>
      <rPr>
        <sz val="11"/>
        <rFont val="Calibri"/>
        <family val="2"/>
      </rPr>
      <t>│</t>
    </r>
    <r>
      <rPr>
        <sz val="11"/>
        <rFont val="Calibri"/>
        <family val="2"/>
        <scheme val="minor"/>
      </rPr>
      <t>UNIT</t>
    </r>
  </si>
  <si>
    <t>LMO</t>
  </si>
  <si>
    <t>NMC622</t>
  </si>
  <si>
    <t>NMC811</t>
  </si>
  <si>
    <t>NCA</t>
  </si>
  <si>
    <t>LFP</t>
  </si>
  <si>
    <t>LOGIT_MODEL_COEFFICIENT_OR_EXPONENT</t>
  </si>
  <si>
    <t>SELECT_LOGIT_MODEL_PV_ALLOCATION</t>
  </si>
  <si>
    <t>_VECTOR(PV_SOLAR_TECHNOLOGY_I)</t>
  </si>
  <si>
    <t/>
  </si>
  <si>
    <t>PROTRA_PP_solar_open_space_PV</t>
  </si>
  <si>
    <t>CHECK</t>
  </si>
  <si>
    <t>new PROTRA order</t>
  </si>
  <si>
    <t>ccs 0.75</t>
  </si>
  <si>
    <t>solid bio 0.7</t>
  </si>
  <si>
    <t xml:space="preserve">fossils: by price: </t>
  </si>
  <si>
    <t>coal 0.65</t>
  </si>
  <si>
    <t>gas 0.60</t>
  </si>
  <si>
    <t>liquid 0.55</t>
  </si>
  <si>
    <t>waste 0.8</t>
  </si>
  <si>
    <t>RES w/o fuel cost: 1-0.85 (differentied by O&amp;M)</t>
  </si>
  <si>
    <t>new priorities for testing</t>
  </si>
  <si>
    <t>old eu</t>
  </si>
  <si>
    <t>old rest</t>
  </si>
  <si>
    <t>_MATRIX(PV_SOLAR_TECHNOLOGY_I, TIME):HISTORIC_PV_MODULES_EFFICIENCY</t>
  </si>
  <si>
    <t>PROTRA_LIFETIME_vector</t>
  </si>
  <si>
    <t>_VECTOR(PARAMETER, REGION_9_I)</t>
  </si>
  <si>
    <r>
      <t>REGION_9_I</t>
    </r>
    <r>
      <rPr>
        <sz val="11"/>
        <rFont val="Calibri"/>
        <family val="2"/>
      </rPr>
      <t>│</t>
    </r>
    <r>
      <rPr>
        <sz val="11"/>
        <rFont val="Calibri"/>
        <family val="2"/>
        <scheme val="minor"/>
      </rPr>
      <t>UNIT</t>
    </r>
  </si>
  <si>
    <t>USMCA</t>
  </si>
  <si>
    <t>OVERCAPACITY_FACTOR_ELEC</t>
  </si>
  <si>
    <t>OVERCAPACITY_FACTOR_HEAT</t>
  </si>
  <si>
    <t>Bateries ratio</t>
  </si>
  <si>
    <t>bateries 4w elect household</t>
  </si>
  <si>
    <t xml:space="preserve">bateries LV elec </t>
  </si>
  <si>
    <t>bateries LV hyb</t>
  </si>
  <si>
    <t>bateries HV hyb</t>
  </si>
  <si>
    <t>bateries bus elec</t>
  </si>
  <si>
    <t>bateries bus hib</t>
  </si>
  <si>
    <t>bateries 2 wheels elec</t>
  </si>
  <si>
    <t>ebikes</t>
  </si>
  <si>
    <t>Maggio12 low conv oil RURR</t>
  </si>
  <si>
    <t>Maggio12 middle conv oil RURR</t>
  </si>
  <si>
    <t>Maggio12 high conv oil RURR</t>
  </si>
  <si>
    <t>BG mohr15 unconv oil RURR</t>
  </si>
  <si>
    <t>High mohr15 unconv oil RURR</t>
  </si>
  <si>
    <t>Low mohr15 unconv oil RURR</t>
  </si>
  <si>
    <t>Laherrère 2006 total oil RURR</t>
  </si>
  <si>
    <t>Laherrère2018 conv oil RURR</t>
  </si>
  <si>
    <t>Laherrère2018 unconv oil RURR</t>
  </si>
  <si>
    <t>Laherrère2018 total oil RURR</t>
  </si>
  <si>
    <t>Low Mohr2015 conv gas RURR</t>
  </si>
  <si>
    <t>High Mohr2015 conv gas RURR</t>
  </si>
  <si>
    <t>BG Mohr2015 conv gas RURR</t>
  </si>
  <si>
    <t>BG Mohr15 unconv gas RURR</t>
  </si>
  <si>
    <t>High Mohr15 unconv gas RURR</t>
  </si>
  <si>
    <t>Low Mohr15 unconv gas RURR</t>
  </si>
  <si>
    <t>Laherrère10 total gas RURR</t>
  </si>
  <si>
    <t>Mohr12 BG total gas RURR</t>
  </si>
  <si>
    <t>Laherrère2018 total gas RURR</t>
  </si>
  <si>
    <t>mohr12 coal RURR</t>
  </si>
  <si>
    <t>Low Mohr2015 coal RURR</t>
  </si>
  <si>
    <t>BG Mohr2015 coal RURR</t>
  </si>
  <si>
    <t>High Mohr2015 coal RURR</t>
  </si>
  <si>
    <t>Zittel12 uranium RURR</t>
  </si>
  <si>
    <t>EWG13 Uranium RURR</t>
  </si>
  <si>
    <t>EWG06 Uranium</t>
  </si>
  <si>
    <t>EWG06 Uranium RURR</t>
  </si>
  <si>
    <t>EWG06 Uranium extraction</t>
  </si>
  <si>
    <t>TO_PROSUP_P2H</t>
  </si>
  <si>
    <t>Data PROSUP_P2H_I</t>
  </si>
  <si>
    <t>PROSUP_P2H_heat_pump</t>
  </si>
  <si>
    <t>Initial installed capacity</t>
  </si>
  <si>
    <t>technical economic lifetime (years)</t>
  </si>
  <si>
    <t>Heat efficiency</t>
  </si>
  <si>
    <t>PROSUP_P2H_electric_boiler</t>
  </si>
  <si>
    <t>CONSTANT INPUTS TO CHECK THE SUBMODULE AND/OR ISOLATE IT</t>
  </si>
  <si>
    <t>SOLAR</t>
  </si>
  <si>
    <t>WIND</t>
  </si>
  <si>
    <t>ZERO_GHG_SEMIFLEX</t>
  </si>
  <si>
    <t>STATIONARY_STORAGE</t>
  </si>
  <si>
    <t>HEAT_DEMAND</t>
  </si>
  <si>
    <t>CHP</t>
  </si>
  <si>
    <t>HEAT PUMPS</t>
  </si>
  <si>
    <t>ELEC_BOILERS</t>
  </si>
  <si>
    <t>EV_DEMAND</t>
  </si>
  <si>
    <t>V2G</t>
  </si>
  <si>
    <t>HYDROGEN_DEMAND</t>
  </si>
  <si>
    <t>HYDROGEN_SUPPLY</t>
  </si>
  <si>
    <t>FLEX_DEMAND</t>
  </si>
  <si>
    <t>IRRADIANCE_STANDAR_CONDITIONS</t>
  </si>
  <si>
    <t>UNIT (irradiance in standar conditions (1000 W/M2) and 25 º)</t>
  </si>
  <si>
    <t>VALUE</t>
  </si>
  <si>
    <t>w/m2</t>
  </si>
  <si>
    <t>POWER_PV_PANEL_BASELINE</t>
  </si>
  <si>
    <t>W</t>
  </si>
  <si>
    <t>RATIO_CAPACITY_STORAGE_P2H</t>
  </si>
  <si>
    <t>SHARE_BACKUP_POWER_SYSTEM</t>
  </si>
  <si>
    <t>PROSUP_hydrogen_2_liquid</t>
  </si>
  <si>
    <t>PROSUP_hydrogen_2_gas</t>
  </si>
  <si>
    <t>CF PROSUP ELEC2HEAT</t>
  </si>
  <si>
    <t>This value is impossible, there are always losses</t>
  </si>
  <si>
    <t>PROTRA_CHP_gas_fuels,</t>
  </si>
  <si>
    <t>PROTRA_CHP_gas_fuels_CCS,</t>
  </si>
  <si>
    <t>PROTRA_CHP_geothermal_DEACTIVATED,</t>
  </si>
  <si>
    <t>PROTRA_CHP_liquid_fuels,</t>
  </si>
  <si>
    <t>PROTRA_CHP_liquid_fuels_CCS,</t>
  </si>
  <si>
    <t>PROTRA_CHP_solid_fossil,</t>
  </si>
  <si>
    <t>PROTRA_CHP_solid_fossil_CCS,</t>
  </si>
  <si>
    <t>PROTRA_CHP_waste,</t>
  </si>
  <si>
    <t>PROTRA_CHP_solid_bio,</t>
  </si>
  <si>
    <t>PROTRA_CHP_solid_bio_CCS,</t>
  </si>
  <si>
    <t>PROTRA_HP_gas_fuels,</t>
  </si>
  <si>
    <t>PROTRA_HP_solid_bio,</t>
  </si>
  <si>
    <t>PROTRA_HP_geothermal,</t>
  </si>
  <si>
    <t>PROTRA_HP_liquid_fuels,</t>
  </si>
  <si>
    <t>PROTRA_HP_solar_DEACTIVATED,</t>
  </si>
  <si>
    <t>PROTRA_HP_solid_fossil,</t>
  </si>
  <si>
    <t>PROTRA_HP_waste,</t>
  </si>
  <si>
    <t>PROTRA_PP_solid_bio,</t>
  </si>
  <si>
    <t>PROTRA_PP_solid_bio_CCS,</t>
  </si>
  <si>
    <t>PROTRA_PP_gas_fuels,</t>
  </si>
  <si>
    <t>PROTRA_PP_gas_fuels_CCS,</t>
  </si>
  <si>
    <t>PROTRA_PP_geothermal,</t>
  </si>
  <si>
    <t>PROTRA_PP_hydropower_dammed,</t>
  </si>
  <si>
    <t>PROTRA_PP_hydropower_run_of_river,</t>
  </si>
  <si>
    <t>PROTRA_PP_liquid_fuels,</t>
  </si>
  <si>
    <t>PROTRA_PP_liquid_fuels_CCS,</t>
  </si>
  <si>
    <t>PROTRA_PP_nuclear,</t>
  </si>
  <si>
    <t>PROTRA_PP_oceanic,</t>
  </si>
  <si>
    <t>PROTRA_PP_solar_CSP,</t>
  </si>
  <si>
    <t>PROTRA_PP_solar_open_space_PV,</t>
  </si>
  <si>
    <t>PROTRA_PP_solar_urban_PV,</t>
  </si>
  <si>
    <t>PROTRA_PP_solid_fossil,</t>
  </si>
  <si>
    <t>PROTRA_PP_solid_fossil_CCS,</t>
  </si>
  <si>
    <t>PROTRA_PP_waste,</t>
  </si>
  <si>
    <t>PROTRA_PP_waste_CCS,</t>
  </si>
  <si>
    <t>PROTRA_PP_wind_offshore,</t>
  </si>
  <si>
    <t>PROTRA_PP_wind_onshore,</t>
  </si>
  <si>
    <t>PROTRA_blending_gas_fuels,</t>
  </si>
  <si>
    <t>PROTRA_blending_liquid_fuels,</t>
  </si>
  <si>
    <t>PROTRA_no_process_TI_hydrogen,</t>
  </si>
  <si>
    <t>PROTRA_no_process_TI_solid_bio,</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</si>
  <si>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</si>
  <si>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</si>
  <si>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</si>
  <si>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</si>
  <si>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</si>
  <si>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</si>
  <si>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</si>
  <si>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</si>
  <si>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</si>
  <si>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</si>
  <si>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</si>
  <si>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</si>
  <si>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</si>
  <si>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</si>
  <si>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</si>
  <si>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</si>
  <si>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</si>
  <si>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</si>
  <si>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</si>
  <si>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</si>
  <si>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</si>
  <si>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</si>
  <si>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</si>
  <si>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</si>
  <si>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</si>
  <si>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</si>
  <si>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</si>
  <si>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</si>
  <si>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</si>
  <si>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</si>
  <si>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</si>
  <si>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</si>
  <si>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</si>
  <si>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</si>
  <si>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</si>
  <si>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</si>
  <si>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</si>
  <si>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</si>
  <si>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</si>
  <si>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</si>
  <si>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</si>
  <si>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</si>
  <si>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</si>
  <si>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</si>
  <si>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</si>
  <si>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</si>
  <si>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</si>
  <si>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</si>
  <si>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y49</t>
  </si>
  <si>
    <t>y50</t>
  </si>
  <si>
    <t>y51</t>
  </si>
  <si>
    <t>y52</t>
  </si>
  <si>
    <t>y53</t>
  </si>
  <si>
    <t>y54</t>
  </si>
  <si>
    <t>y55</t>
  </si>
  <si>
    <t>y56</t>
  </si>
  <si>
    <t>y57</t>
  </si>
  <si>
    <t>y58</t>
  </si>
  <si>
    <t>y59</t>
  </si>
  <si>
    <t>y60</t>
  </si>
  <si>
    <t>y61</t>
  </si>
  <si>
    <t>y62</t>
  </si>
  <si>
    <t>y63</t>
  </si>
  <si>
    <t>y64</t>
  </si>
  <si>
    <t>y65</t>
  </si>
  <si>
    <t>y66</t>
  </si>
  <si>
    <t>y67</t>
  </si>
  <si>
    <t>y68</t>
  </si>
  <si>
    <t>y69</t>
  </si>
  <si>
    <t>y70</t>
  </si>
  <si>
    <t>y71</t>
  </si>
  <si>
    <t>y72</t>
  </si>
  <si>
    <t>y73</t>
  </si>
  <si>
    <t>y74</t>
  </si>
  <si>
    <t>y75</t>
  </si>
  <si>
    <t>y76</t>
  </si>
  <si>
    <t>y77</t>
  </si>
  <si>
    <t>y78</t>
  </si>
  <si>
    <t>y79</t>
  </si>
  <si>
    <t>y80</t>
  </si>
  <si>
    <t>y81</t>
  </si>
  <si>
    <t>y82</t>
  </si>
  <si>
    <t>y83</t>
  </si>
  <si>
    <t>y84</t>
  </si>
  <si>
    <t>y85</t>
  </si>
  <si>
    <t>y86</t>
  </si>
  <si>
    <t>y87</t>
  </si>
  <si>
    <t>y88</t>
  </si>
  <si>
    <t>y89</t>
  </si>
  <si>
    <t>y90</t>
  </si>
  <si>
    <t>y91</t>
  </si>
  <si>
    <t>y92</t>
  </si>
  <si>
    <t>y93</t>
  </si>
  <si>
    <t>y94</t>
  </si>
  <si>
    <t>y95</t>
  </si>
  <si>
    <t>y96</t>
  </si>
  <si>
    <t>y97</t>
  </si>
  <si>
    <t>y98</t>
  </si>
  <si>
    <t>y99</t>
  </si>
  <si>
    <t>y100</t>
  </si>
  <si>
    <t>PLANNING&amp;CONSTRUCTION_TIMES
 0: non-operative. In Planning&amp;Construction or Decommissioned
1: in operation.
-1: under decommission or decommissioned</t>
  </si>
  <si>
    <t>Technical lifetime</t>
  </si>
  <si>
    <t xml:space="preserve">18La BP WPE in_st 800 MW input, woodpellets storage for 10 days  </t>
  </si>
  <si>
    <t xml:space="preserve">16La EX CC NGA CC large CHP Gas Turbine combined Cycle natural Gas  </t>
  </si>
  <si>
    <t>17La_EX_COA CHP coal 400-700 MWwe</t>
  </si>
  <si>
    <t>Coal FGD INT</t>
  </si>
  <si>
    <t>Natural gas CCGT INT</t>
  </si>
  <si>
    <t>Uranium</t>
  </si>
  <si>
    <t>19PV_La_Utility scale PV (2020)</t>
  </si>
  <si>
    <t>Biomass plant INT</t>
  </si>
  <si>
    <t>19WIN_ON_in Onshore wind incl. Grid (2020)</t>
  </si>
  <si>
    <t>19WIN_OF_in Offshore wind incl. Grid (2020)</t>
  </si>
  <si>
    <t>22PV_Sm_roof residential (2020)</t>
  </si>
  <si>
    <t>45.2.a Geothermal DH, 1200m, A</t>
  </si>
  <si>
    <t>46 Solar District Heating</t>
  </si>
  <si>
    <t>50 Diesel engine farm</t>
  </si>
  <si>
    <t>51 Natural gas engine plant</t>
  </si>
  <si>
    <t>103 Hydrogen to Ammonia (version 10)</t>
  </si>
  <si>
    <t>PROTRA subscript element (WILIAM)</t>
  </si>
  <si>
    <r>
      <t>Technology in the Danish Energy Agency catalogue
(</t>
    </r>
    <r>
      <rPr>
        <sz val="11"/>
        <color rgb="FFFF0000"/>
        <rFont val="Calibri"/>
        <family val="2"/>
        <scheme val="minor"/>
      </rPr>
      <t>red means strong asumption</t>
    </r>
    <r>
      <rPr>
        <sz val="11"/>
        <color theme="1"/>
        <rFont val="Calibri"/>
        <family val="2"/>
        <scheme val="minor"/>
      </rPr>
      <t>)</t>
    </r>
  </si>
  <si>
    <t>84 Gasif. CFB, Bio-SNG (2020)</t>
  </si>
  <si>
    <t>93 1st generation ethanol</t>
  </si>
  <si>
    <t>Other data sources</t>
  </si>
  <si>
    <t>(Large hydropower, table 2) IRENA</t>
  </si>
  <si>
    <t xml:space="preserve">(figure 4) Micale, Valerio &amp; Oliver, Padraig &amp; Messent, Fiona. (2014). San Giorgio Group Report: The Role of Public Finance in Deploying Geothermal – Background Paper. </t>
  </si>
  <si>
    <t>Planning&amp;Construction time</t>
  </si>
  <si>
    <t>Power Generation from Coal, Oil, Gas, and Biofuels</t>
  </si>
  <si>
    <t>(Table 3) IRENA</t>
  </si>
  <si>
    <t>PE_agriculture_products</t>
  </si>
  <si>
    <t>PE_coal</t>
  </si>
  <si>
    <t>PE_oil</t>
  </si>
  <si>
    <t>PE_forestry_products</t>
  </si>
  <si>
    <t>PE_geothermal</t>
  </si>
  <si>
    <t>PE_hydropower</t>
  </si>
  <si>
    <t>PE_natural_gas</t>
  </si>
  <si>
    <t>PE_nuclear</t>
  </si>
  <si>
    <t>PE_oceanic</t>
  </si>
  <si>
    <t>PE_solar</t>
  </si>
  <si>
    <t>PE_waste</t>
  </si>
  <si>
    <t>PE_wind</t>
  </si>
  <si>
    <t>PROTRA_CHP_geothermal_DEACTIVATED</t>
  </si>
  <si>
    <t>PROTRA_HP_solar_DEACTIVATED</t>
  </si>
  <si>
    <t>PROTRA_NON_CCS | USD_2015/MWh</t>
  </si>
  <si>
    <t>OPERATION_AND_MAINTAINANCE_COST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</si>
</sst>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 _€_-;\-* #,##0.00\ _€_-;_-* &quot;-&quot;??\ _€_-;_-@_-"/>
    <numFmt numFmtId="165" formatCode="0.000000"/>
    <numFmt numFmtId="166" formatCode="0.0000"/>
    <numFmt numFmtId="167" formatCode="0.00000"/>
    <numFmt numFmtId="168" formatCode="0.000000000"/>
    <numFmt numFmtId="169" formatCode="0.000"/>
    <numFmt numFmtId="170" formatCode="#,##0.000"/>
    <numFmt numFmtId="171" formatCode="0.0%"/>
    <numFmt numFmtId="172" formatCode="0.0"/>
    <numFmt numFmtId="173" formatCode="#,##0.00;\-#,##0.00;\-"/>
    <numFmt numFmtId="174" formatCode="#,##0;\-#,##0;\-"/>
  </numFmts>
  <fonts count="23" x14ac:knownFonts="1">
    <font>
      <sz val="11"/>
      <color theme="1"/>
      <name val="Calibri"/>
      <family val="2"/>
      <scheme val="minor"/>
    </font>
    <font>
      <sz val="24"/>
      <color theme="1"/>
      <name val="Calibri"/>
      <family val="2"/>
      <scheme val="minor"/>
    </font>
    <font>
      <b/>
      <sz val="11"/>
      <color theme="1"/>
      <name val="Calibri"/>
      <family val="2"/>
      <scheme val="minor"/>
    </font>
    <font>
      <b/>
      <sz val="14"/>
      <color theme="1"/>
      <name val="Calibri"/>
      <family val="2"/>
      <scheme val="minor"/>
    </font>
    <font>
      <sz val="11"/>
      <color rgb="FFFF0000"/>
      <name val="Calibri"/>
      <family val="2"/>
      <scheme val="minor"/>
    </font>
    <font>
      <sz val="11"/>
      <name val="Calibri"/>
      <family val="2"/>
      <scheme val="minor"/>
    </font>
    <font>
      <sz val="10"/>
      <name val="Arial"/>
      <family val="2"/>
    </font>
    <font>
      <sz val="14"/>
      <color theme="1"/>
      <name val="Calibri"/>
      <family val="2"/>
      <scheme val="minor"/>
    </font>
    <font>
      <sz val="11"/>
      <name val="Calibri"/>
      <family val="2"/>
    </font>
    <font>
      <b/>
      <sz val="9"/>
      <color indexed="81"/>
      <name val="Tahoma"/>
      <family val="2"/>
    </font>
    <font>
      <sz val="9"/>
      <color indexed="81"/>
      <name val="Tahoma"/>
      <family val="2"/>
    </font>
    <font>
      <sz val="11"/>
      <color theme="1"/>
      <name val="Arial"/>
      <family val="2"/>
    </font>
    <font>
      <b/>
      <sz val="10"/>
      <color theme="0"/>
      <name val="Calibri"/>
      <family val="2"/>
      <scheme val="minor"/>
    </font>
    <font>
      <sz val="10"/>
      <color theme="1"/>
      <name val="Calibri"/>
      <family val="2"/>
      <scheme val="minor"/>
    </font>
    <font>
      <sz val="11"/>
      <color theme="1"/>
      <name val="Calibri"/>
      <family val="2"/>
      <scheme val="minor"/>
    </font>
    <font>
      <b/>
      <sz val="11"/>
      <color theme="5" tint="-0.249977111117893"/>
      <name val="Calibri"/>
      <family val="2"/>
      <scheme val="minor"/>
    </font>
    <font>
      <sz val="10"/>
      <color theme="1"/>
      <name val="Arial"/>
      <family val="2"/>
    </font>
    <font>
      <sz val="11"/>
      <color indexed="8"/>
      <name val="Calibri"/>
      <family val="2"/>
      <scheme val="minor"/>
    </font>
    <font>
      <sz val="72"/>
      <color rgb="FFFF0000"/>
      <name val="Calibri"/>
      <family val="2"/>
      <scheme val="minor"/>
    </font>
    <font>
      <sz val="9"/>
      <color indexed="81"/>
      <name val="Segoe UI"/>
      <family val="2"/>
    </font>
    <font>
      <b/>
      <sz val="9"/>
      <color indexed="81"/>
      <name val="Segoe UI"/>
      <family val="2"/>
    </font>
    <font>
      <b/>
      <sz val="10"/>
      <color theme="1"/>
      <name val="Calibri"/>
      <family val="2"/>
      <scheme val="minor"/>
    </font>
    <font>
      <sz val="8"/>
      <name val="Calibri"/>
      <family val="2"/>
      <scheme val="minor"/>
    </font>
  </fonts>
  <fills count="23">
    <fill>
      <patternFill patternType="none"/>
    </fill>
    <fill>
      <patternFill patternType="gray125"/>
    </fill>
    <fill>
      <patternFill patternType="solid">
        <fgColor rgb="FF00B050"/>
        <bgColor indexed="64"/>
      </patternFill>
    </fill>
    <fill>
      <patternFill patternType="solid">
        <fgColor rgb="FF99FF99"/>
        <bgColor indexed="64"/>
      </patternFill>
    </fill>
    <fill>
      <patternFill patternType="solid">
        <fgColor rgb="FFFFFF00"/>
        <bgColor indexed="64"/>
      </patternFill>
    </fill>
    <fill>
      <patternFill patternType="solid">
        <fgColor rgb="FF0070C0"/>
        <bgColor indexed="64"/>
      </patternFill>
    </fill>
    <fill>
      <patternFill patternType="solid">
        <fgColor theme="8" tint="0.59999389629810485"/>
        <bgColor indexed="64"/>
      </patternFill>
    </fill>
    <fill>
      <patternFill patternType="solid">
        <fgColor rgb="FFFF9900"/>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rgb="FF66FF33"/>
        <bgColor indexed="64"/>
      </patternFill>
    </fill>
    <fill>
      <patternFill patternType="solid">
        <fgColor theme="8" tint="0.79998168889431442"/>
        <bgColor indexed="64"/>
      </patternFill>
    </fill>
    <fill>
      <patternFill patternType="solid">
        <fgColor rgb="FFF8F200"/>
        <bgColor indexed="64"/>
      </patternFill>
    </fill>
    <fill>
      <patternFill patternType="solid">
        <fgColor theme="0"/>
        <bgColor indexed="64"/>
      </patternFill>
    </fill>
    <fill>
      <patternFill patternType="solid">
        <fgColor rgb="FF00FF00"/>
        <bgColor indexed="64"/>
      </patternFill>
    </fill>
    <fill>
      <patternFill patternType="solid">
        <fgColor theme="4" tint="0.79998168889431442"/>
        <bgColor theme="4" tint="0.79998168889431442"/>
      </patternFill>
    </fill>
    <fill>
      <patternFill patternType="solid">
        <fgColor theme="1"/>
        <bgColor indexed="64"/>
      </patternFill>
    </fill>
    <fill>
      <patternFill patternType="solid">
        <fgColor theme="4" tint="0.79998168889431442"/>
        <bgColor indexed="64"/>
      </patternFill>
    </fill>
    <fill>
      <patternFill patternType="solid">
        <fgColor theme="7" tint="0.59999389629810485"/>
        <bgColor theme="4" tint="0.79998168889431442"/>
      </patternFill>
    </fill>
    <fill>
      <patternFill patternType="solid">
        <fgColor theme="7" tint="0.59999389629810485"/>
        <bgColor indexed="64"/>
      </patternFill>
    </fill>
    <fill>
      <patternFill patternType="solid">
        <fgColor rgb="FFFFFF00"/>
        <bgColor rgb="FFDDEBF7"/>
      </patternFill>
    </fill>
    <fill>
      <patternFill patternType="solid">
        <fgColor rgb="FFFFFF00"/>
        <bgColor theme="4" tint="0.79998168889431442"/>
      </patternFill>
    </fill>
    <fill>
      <patternFill patternType="solid">
        <fgColor theme="5" tint="0.59999389629810485"/>
        <bgColor indexed="64"/>
      </patternFill>
    </fill>
  </fills>
  <borders count="61">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right style="medium">
        <color indexed="64"/>
      </right>
      <top style="medium">
        <color indexed="64"/>
      </top>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style="medium">
        <color indexed="64"/>
      </right>
      <top/>
      <bottom style="medium">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right style="thin">
        <color indexed="64"/>
      </right>
      <top/>
      <bottom style="medium">
        <color indexed="64"/>
      </bottom>
      <diagonal/>
    </border>
    <border>
      <left/>
      <right/>
      <top style="thin">
        <color indexed="64"/>
      </top>
      <bottom style="thin">
        <color indexed="64"/>
      </bottom>
      <diagonal/>
    </border>
    <border>
      <left style="thin">
        <color indexed="64"/>
      </left>
      <right/>
      <top style="medium">
        <color indexed="64"/>
      </top>
      <bottom/>
      <diagonal/>
    </border>
    <border>
      <left/>
      <right/>
      <top/>
      <bottom style="thin">
        <color indexed="64"/>
      </bottom>
      <diagonal/>
    </border>
  </borders>
  <cellStyleXfs count="15">
    <xf numFmtId="0" fontId="0" fillId="0" borderId="0"/>
    <xf numFmtId="173" fontId="13" fillId="15" borderId="6" applyNumberFormat="0">
      <alignment horizontal="center" vertical="center"/>
      <protection locked="0"/>
    </xf>
    <xf numFmtId="0" fontId="12" fillId="16" borderId="6" applyNumberFormat="0">
      <alignment horizontal="center" vertical="center"/>
    </xf>
    <xf numFmtId="0" fontId="5" fillId="10" borderId="6">
      <alignment horizontal="left" vertical="center"/>
    </xf>
    <xf numFmtId="49" fontId="5" fillId="10" borderId="6">
      <alignment horizontal="center"/>
    </xf>
    <xf numFmtId="49" fontId="14" fillId="0" borderId="0" applyBorder="0">
      <alignment horizontal="center" vertical="center"/>
    </xf>
    <xf numFmtId="49" fontId="15" fillId="0" borderId="0">
      <alignment horizontal="left" vertical="center"/>
    </xf>
    <xf numFmtId="49" fontId="5" fillId="10" borderId="6">
      <alignment horizontal="left" wrapText="1"/>
    </xf>
    <xf numFmtId="174" fontId="14" fillId="0" borderId="0" applyFont="0" applyFill="0" applyBorder="0" applyAlignment="0" applyProtection="0"/>
    <xf numFmtId="0" fontId="6" fillId="0" borderId="0">
      <alignment vertical="center"/>
    </xf>
    <xf numFmtId="9" fontId="16" fillId="0" borderId="0" applyFont="0" applyFill="0" applyBorder="0" applyAlignment="0" applyProtection="0"/>
    <xf numFmtId="0" fontId="16" fillId="0" borderId="0"/>
    <xf numFmtId="164" fontId="16" fillId="0" borderId="0" applyFont="0" applyFill="0" applyBorder="0" applyAlignment="0" applyProtection="0"/>
    <xf numFmtId="0" fontId="17" fillId="0" borderId="0"/>
    <xf numFmtId="9" fontId="14" fillId="0" borderId="0" applyFont="0" applyFill="0" applyBorder="0" applyAlignment="0" applyProtection="0"/>
  </cellStyleXfs>
  <cellXfs count="359">
    <xf numFmtId="0" fontId="0" fillId="0" borderId="0" xfId="0"/>
    <xf numFmtId="0" fontId="1" fillId="2" borderId="0" xfId="0" applyFont="1" applyFill="1"/>
    <xf numFmtId="0" fontId="0" fillId="2" borderId="0" xfId="0" applyFill="1"/>
    <xf numFmtId="0" fontId="0" fillId="3" borderId="0" xfId="0" applyFill="1"/>
    <xf numFmtId="0" fontId="2" fillId="4" borderId="1" xfId="0" applyFont="1" applyFill="1" applyBorder="1" applyAlignment="1">
      <alignment horizontal="center"/>
    </xf>
    <xf numFmtId="0" fontId="0" fillId="4" borderId="1" xfId="0" applyFill="1" applyBorder="1" applyAlignment="1">
      <alignment horizont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0" fillId="4" borderId="4" xfId="0" applyFill="1" applyBorder="1" applyAlignment="1">
      <alignment horizontal="center" vertical="center"/>
    </xf>
    <xf numFmtId="0" fontId="0" fillId="0" borderId="6" xfId="0" applyBorder="1" applyAlignment="1">
      <alignment horizontal="center" vertical="center"/>
    </xf>
    <xf numFmtId="0" fontId="0" fillId="0" borderId="6" xfId="0" applyBorder="1" applyAlignment="1">
      <alignment horizontal="center"/>
    </xf>
    <xf numFmtId="0" fontId="0" fillId="0" borderId="7" xfId="0" applyBorder="1" applyAlignment="1">
      <alignment horizontal="center"/>
    </xf>
    <xf numFmtId="0" fontId="0" fillId="5" borderId="0" xfId="0" applyFill="1"/>
    <xf numFmtId="165" fontId="0" fillId="0" borderId="6" xfId="0" applyNumberFormat="1" applyBorder="1" applyAlignment="1">
      <alignment horizontal="center"/>
    </xf>
    <xf numFmtId="0" fontId="0" fillId="0" borderId="9" xfId="0" applyBorder="1" applyAlignment="1">
      <alignment horizontal="center" vertical="center"/>
    </xf>
    <xf numFmtId="0" fontId="0" fillId="0" borderId="9" xfId="0" applyBorder="1" applyAlignment="1">
      <alignment horizontal="center"/>
    </xf>
    <xf numFmtId="0" fontId="0" fillId="6" borderId="1" xfId="0" applyFill="1" applyBorder="1" applyAlignment="1">
      <alignment horizontal="left"/>
    </xf>
    <xf numFmtId="0" fontId="0" fillId="0" borderId="2" xfId="0"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0" borderId="14" xfId="0" applyBorder="1" applyAlignment="1">
      <alignment horizontal="center" vertical="center"/>
    </xf>
    <xf numFmtId="0" fontId="0" fillId="0" borderId="14" xfId="0" applyBorder="1" applyAlignment="1">
      <alignment horizontal="center"/>
    </xf>
    <xf numFmtId="0" fontId="0" fillId="0" borderId="15" xfId="0" applyBorder="1" applyAlignment="1">
      <alignment horizontal="center"/>
    </xf>
    <xf numFmtId="0" fontId="0" fillId="6" borderId="17" xfId="0" applyFill="1" applyBorder="1" applyAlignment="1">
      <alignment horizontal="left"/>
    </xf>
    <xf numFmtId="0" fontId="0" fillId="0" borderId="18" xfId="0" applyBorder="1" applyAlignment="1">
      <alignment horizontal="center" vertical="center"/>
    </xf>
    <xf numFmtId="0" fontId="0" fillId="0" borderId="18" xfId="0" applyBorder="1" applyAlignment="1">
      <alignment horizontal="center"/>
    </xf>
    <xf numFmtId="0" fontId="0" fillId="0" borderId="19" xfId="0" applyBorder="1" applyAlignment="1">
      <alignment horizontal="center"/>
    </xf>
    <xf numFmtId="0" fontId="0" fillId="5" borderId="6" xfId="0" applyFill="1" applyBorder="1" applyAlignment="1">
      <alignment horizontal="center"/>
    </xf>
    <xf numFmtId="0" fontId="0" fillId="5" borderId="7" xfId="0" applyFill="1" applyBorder="1" applyAlignment="1">
      <alignment horizontal="center"/>
    </xf>
    <xf numFmtId="0" fontId="4" fillId="0" borderId="0" xfId="0" applyFont="1"/>
    <xf numFmtId="0" fontId="0" fillId="0" borderId="0" xfId="0" applyAlignment="1">
      <alignment horizontal="center" vertical="center"/>
    </xf>
    <xf numFmtId="0" fontId="0" fillId="0" borderId="21" xfId="0" applyBorder="1" applyAlignment="1">
      <alignment horizontal="center"/>
    </xf>
    <xf numFmtId="0" fontId="5" fillId="0" borderId="0" xfId="0" applyFont="1"/>
    <xf numFmtId="0" fontId="0" fillId="6" borderId="22" xfId="0" applyFill="1" applyBorder="1" applyAlignment="1">
      <alignment horizontal="left"/>
    </xf>
    <xf numFmtId="0" fontId="4" fillId="0" borderId="6" xfId="0" applyFont="1" applyBorder="1" applyAlignment="1">
      <alignment horizontal="center"/>
    </xf>
    <xf numFmtId="0" fontId="4" fillId="0" borderId="7" xfId="0" applyFont="1" applyBorder="1" applyAlignment="1">
      <alignment horizontal="center"/>
    </xf>
    <xf numFmtId="0" fontId="6" fillId="0" borderId="0" xfId="0" applyFont="1"/>
    <xf numFmtId="0" fontId="5" fillId="0" borderId="14" xfId="0" applyFont="1" applyBorder="1" applyAlignment="1">
      <alignment horizontal="center"/>
    </xf>
    <xf numFmtId="166" fontId="4" fillId="0" borderId="15" xfId="0" applyNumberFormat="1" applyFont="1" applyBorder="1" applyAlignment="1">
      <alignment horizontal="center"/>
    </xf>
    <xf numFmtId="0" fontId="5" fillId="6" borderId="1" xfId="0" applyFont="1" applyFill="1" applyBorder="1" applyAlignment="1">
      <alignment horizontal="left"/>
    </xf>
    <xf numFmtId="0" fontId="5" fillId="0" borderId="2" xfId="0" applyFont="1" applyBorder="1" applyAlignment="1">
      <alignment horizontal="center"/>
    </xf>
    <xf numFmtId="0" fontId="5" fillId="0" borderId="3" xfId="0" applyFont="1" applyBorder="1" applyAlignment="1">
      <alignment horizontal="center"/>
    </xf>
    <xf numFmtId="0" fontId="5" fillId="0" borderId="7" xfId="0" applyFont="1" applyBorder="1" applyAlignment="1">
      <alignment horizontal="center"/>
    </xf>
    <xf numFmtId="0" fontId="0" fillId="6" borderId="5" xfId="0" applyFill="1" applyBorder="1" applyAlignment="1">
      <alignment horizontal="left"/>
    </xf>
    <xf numFmtId="0" fontId="0" fillId="0" borderId="20" xfId="0" applyBorder="1"/>
    <xf numFmtId="0" fontId="5" fillId="0" borderId="6" xfId="0" applyFont="1" applyBorder="1" applyAlignment="1">
      <alignment horizontal="center" vertical="center"/>
    </xf>
    <xf numFmtId="0" fontId="0" fillId="0" borderId="7" xfId="0" applyBorder="1"/>
    <xf numFmtId="0" fontId="0" fillId="0" borderId="26" xfId="0" applyBorder="1" applyAlignment="1">
      <alignment horizontal="center" vertical="center"/>
    </xf>
    <xf numFmtId="0" fontId="5" fillId="6" borderId="2" xfId="0" applyFont="1" applyFill="1" applyBorder="1" applyAlignment="1">
      <alignment horizontal="left" vertical="center"/>
    </xf>
    <xf numFmtId="0" fontId="5" fillId="0" borderId="3" xfId="0" applyFont="1" applyBorder="1"/>
    <xf numFmtId="0" fontId="5" fillId="0" borderId="6" xfId="0" applyFont="1" applyBorder="1" applyAlignment="1">
      <alignment horizontal="center"/>
    </xf>
    <xf numFmtId="0" fontId="5" fillId="0" borderId="7" xfId="0" applyFont="1" applyBorder="1"/>
    <xf numFmtId="0" fontId="0" fillId="6" borderId="6" xfId="0" applyFill="1" applyBorder="1" applyAlignment="1">
      <alignment horizontal="left"/>
    </xf>
    <xf numFmtId="0" fontId="5" fillId="0" borderId="6" xfId="0" applyFont="1" applyBorder="1"/>
    <xf numFmtId="0" fontId="0" fillId="6" borderId="6" xfId="0" applyFill="1" applyBorder="1"/>
    <xf numFmtId="0" fontId="5" fillId="6" borderId="6" xfId="0" applyFont="1" applyFill="1" applyBorder="1"/>
    <xf numFmtId="0" fontId="5" fillId="0" borderId="14" xfId="0" applyFont="1" applyBorder="1" applyAlignment="1">
      <alignment horizontal="center" vertical="center"/>
    </xf>
    <xf numFmtId="0" fontId="0" fillId="0" borderId="28" xfId="0" applyBorder="1"/>
    <xf numFmtId="0" fontId="5" fillId="6" borderId="1" xfId="0" applyFont="1" applyFill="1" applyBorder="1" applyAlignment="1">
      <alignment horizontal="left" vertical="center"/>
    </xf>
    <xf numFmtId="0" fontId="5" fillId="0" borderId="2" xfId="0" applyFont="1" applyBorder="1" applyAlignment="1">
      <alignment horizontal="center" vertical="center"/>
    </xf>
    <xf numFmtId="0" fontId="5" fillId="0" borderId="2" xfId="0" applyFont="1" applyBorder="1"/>
    <xf numFmtId="2" fontId="0" fillId="0" borderId="2" xfId="0" applyNumberFormat="1" applyBorder="1"/>
    <xf numFmtId="2" fontId="0" fillId="0" borderId="3" xfId="0" applyNumberFormat="1" applyBorder="1"/>
    <xf numFmtId="2" fontId="0" fillId="0" borderId="6" xfId="0" applyNumberFormat="1" applyBorder="1"/>
    <xf numFmtId="2" fontId="0" fillId="0" borderId="7" xfId="0" applyNumberFormat="1" applyBorder="1"/>
    <xf numFmtId="0" fontId="5" fillId="6" borderId="5" xfId="0" applyFont="1" applyFill="1" applyBorder="1" applyAlignment="1">
      <alignment horizontal="left" vertical="center"/>
    </xf>
    <xf numFmtId="2" fontId="0" fillId="0" borderId="9" xfId="0" applyNumberFormat="1" applyBorder="1"/>
    <xf numFmtId="2" fontId="0" fillId="0" borderId="21" xfId="0" applyNumberFormat="1" applyBorder="1"/>
    <xf numFmtId="0" fontId="5" fillId="0" borderId="7" xfId="0" applyFont="1" applyBorder="1" applyAlignment="1">
      <alignment horizontal="center" vertical="center"/>
    </xf>
    <xf numFmtId="0" fontId="5" fillId="0" borderId="15" xfId="0" applyFont="1" applyBorder="1" applyAlignment="1">
      <alignment horizontal="center" vertical="center"/>
    </xf>
    <xf numFmtId="0" fontId="5" fillId="6" borderId="4" xfId="0" applyFont="1" applyFill="1" applyBorder="1" applyAlignment="1">
      <alignment horizontal="center" vertical="center"/>
    </xf>
    <xf numFmtId="168" fontId="0" fillId="0" borderId="6" xfId="0" applyNumberFormat="1" applyBorder="1"/>
    <xf numFmtId="168" fontId="0" fillId="0" borderId="7" xfId="0" applyNumberFormat="1" applyBorder="1"/>
    <xf numFmtId="0" fontId="5" fillId="6" borderId="13" xfId="0" applyFont="1" applyFill="1" applyBorder="1" applyAlignment="1">
      <alignment horizontal="left" vertical="center"/>
    </xf>
    <xf numFmtId="0" fontId="5" fillId="6" borderId="30" xfId="0" applyFont="1" applyFill="1" applyBorder="1" applyAlignment="1">
      <alignment horizontal="center" vertical="center"/>
    </xf>
    <xf numFmtId="168" fontId="0" fillId="0" borderId="14" xfId="0" applyNumberFormat="1" applyBorder="1"/>
    <xf numFmtId="168" fontId="0" fillId="0" borderId="15" xfId="0" applyNumberFormat="1" applyBorder="1"/>
    <xf numFmtId="0" fontId="0" fillId="0" borderId="14" xfId="0" applyBorder="1"/>
    <xf numFmtId="0" fontId="0" fillId="0" borderId="15" xfId="0" applyBorder="1"/>
    <xf numFmtId="0" fontId="0" fillId="0" borderId="8" xfId="0" applyBorder="1"/>
    <xf numFmtId="169" fontId="0" fillId="0" borderId="0" xfId="0" applyNumberFormat="1"/>
    <xf numFmtId="0" fontId="5" fillId="6" borderId="6" xfId="0" applyFont="1" applyFill="1" applyBorder="1" applyAlignment="1">
      <alignment horizontal="left" vertical="center"/>
    </xf>
    <xf numFmtId="0" fontId="7" fillId="0" borderId="0" xfId="0" applyFont="1"/>
    <xf numFmtId="0" fontId="0" fillId="0" borderId="0" xfId="0" applyAlignment="1">
      <alignment horizontal="left"/>
    </xf>
    <xf numFmtId="169" fontId="0" fillId="0" borderId="18" xfId="0" applyNumberFormat="1" applyBorder="1" applyAlignment="1">
      <alignment horizontal="center" vertical="center"/>
    </xf>
    <xf numFmtId="0" fontId="5" fillId="6" borderId="6" xfId="0" applyFont="1" applyFill="1" applyBorder="1" applyAlignment="1">
      <alignment horizontal="left"/>
    </xf>
    <xf numFmtId="169" fontId="5" fillId="0" borderId="6" xfId="0" applyNumberFormat="1" applyFont="1" applyBorder="1" applyAlignment="1">
      <alignment horizontal="center" vertical="center"/>
    </xf>
    <xf numFmtId="169" fontId="0" fillId="0" borderId="6" xfId="0" applyNumberFormat="1" applyBorder="1" applyAlignment="1">
      <alignment horizontal="center" vertical="center"/>
    </xf>
    <xf numFmtId="11" fontId="0" fillId="0" borderId="6" xfId="0" applyNumberFormat="1" applyBorder="1" applyAlignment="1">
      <alignment horizontal="center"/>
    </xf>
    <xf numFmtId="0" fontId="0" fillId="7" borderId="6" xfId="0" applyFill="1" applyBorder="1" applyAlignment="1">
      <alignment horizontal="left"/>
    </xf>
    <xf numFmtId="0" fontId="0" fillId="7" borderId="6" xfId="0" applyFill="1" applyBorder="1" applyAlignment="1">
      <alignment horizontal="center"/>
    </xf>
    <xf numFmtId="0" fontId="0" fillId="7" borderId="6" xfId="0" applyFill="1" applyBorder="1" applyAlignment="1">
      <alignment horizontal="center" vertical="center"/>
    </xf>
    <xf numFmtId="0" fontId="0" fillId="4" borderId="32" xfId="0" applyFill="1" applyBorder="1" applyAlignment="1">
      <alignment horizontal="left"/>
    </xf>
    <xf numFmtId="0" fontId="0" fillId="4" borderId="33" xfId="0" applyFill="1" applyBorder="1" applyAlignment="1">
      <alignment horizontal="left"/>
    </xf>
    <xf numFmtId="0" fontId="0" fillId="6" borderId="38" xfId="0" applyFill="1" applyBorder="1" applyAlignment="1">
      <alignment horizontal="center"/>
    </xf>
    <xf numFmtId="0" fontId="0" fillId="6" borderId="39" xfId="0" applyFill="1" applyBorder="1" applyAlignment="1">
      <alignment horizontal="center"/>
    </xf>
    <xf numFmtId="0" fontId="0" fillId="6" borderId="39" xfId="0" applyFill="1" applyBorder="1"/>
    <xf numFmtId="0" fontId="0" fillId="6" borderId="40" xfId="0" applyFill="1" applyBorder="1"/>
    <xf numFmtId="0" fontId="2" fillId="5" borderId="6" xfId="0" applyFont="1" applyFill="1" applyBorder="1" applyAlignment="1">
      <alignment horizontal="left" vertical="center"/>
    </xf>
    <xf numFmtId="0" fontId="2" fillId="5" borderId="39" xfId="0" applyFont="1" applyFill="1" applyBorder="1" applyAlignment="1">
      <alignment horizontal="center" vertical="center"/>
    </xf>
    <xf numFmtId="0" fontId="0" fillId="5" borderId="39" xfId="0" applyFill="1" applyBorder="1" applyAlignment="1">
      <alignment horizontal="center" vertical="center"/>
    </xf>
    <xf numFmtId="0" fontId="0" fillId="6" borderId="1" xfId="0" applyFill="1" applyBorder="1" applyAlignment="1">
      <alignment vertical="center"/>
    </xf>
    <xf numFmtId="0" fontId="0" fillId="0" borderId="3" xfId="0" applyBorder="1" applyAlignment="1">
      <alignment horizontal="center" vertical="center"/>
    </xf>
    <xf numFmtId="0" fontId="0" fillId="0" borderId="41" xfId="0" applyBorder="1" applyAlignment="1">
      <alignment horizontal="center"/>
    </xf>
    <xf numFmtId="0" fontId="0" fillId="0" borderId="2" xfId="0" applyBorder="1"/>
    <xf numFmtId="0" fontId="0" fillId="0" borderId="3" xfId="0" applyBorder="1"/>
    <xf numFmtId="0" fontId="0" fillId="0" borderId="39" xfId="0" applyBorder="1"/>
    <xf numFmtId="0" fontId="0" fillId="0" borderId="42" xfId="0" applyBorder="1"/>
    <xf numFmtId="0" fontId="0" fillId="0" borderId="15" xfId="0" applyBorder="1" applyAlignment="1">
      <alignment horizontal="center" vertical="center"/>
    </xf>
    <xf numFmtId="170" fontId="0" fillId="0" borderId="30" xfId="0" applyNumberFormat="1" applyBorder="1" applyAlignment="1">
      <alignment horizontal="center"/>
    </xf>
    <xf numFmtId="170" fontId="0" fillId="0" borderId="14" xfId="0" applyNumberFormat="1" applyBorder="1" applyAlignment="1">
      <alignment horizontal="center"/>
    </xf>
    <xf numFmtId="0" fontId="0" fillId="6" borderId="17" xfId="0" applyFill="1" applyBorder="1" applyAlignment="1">
      <alignment vertical="center"/>
    </xf>
    <xf numFmtId="0" fontId="0" fillId="0" borderId="18" xfId="0" applyBorder="1" applyAlignment="1">
      <alignment vertical="center"/>
    </xf>
    <xf numFmtId="0" fontId="0" fillId="0" borderId="43" xfId="0" applyBorder="1" applyAlignment="1">
      <alignment horizontal="center"/>
    </xf>
    <xf numFmtId="0" fontId="0" fillId="0" borderId="18" xfId="0" applyBorder="1"/>
    <xf numFmtId="0" fontId="0" fillId="0" borderId="19" xfId="0" applyBorder="1"/>
    <xf numFmtId="170" fontId="0" fillId="0" borderId="44" xfId="0" applyNumberFormat="1" applyBorder="1" applyAlignment="1">
      <alignment horizontal="center"/>
    </xf>
    <xf numFmtId="0" fontId="0" fillId="0" borderId="2" xfId="0" applyBorder="1" applyAlignment="1">
      <alignment vertical="center"/>
    </xf>
    <xf numFmtId="0" fontId="0" fillId="0" borderId="39" xfId="0" applyBorder="1" applyAlignment="1">
      <alignment horizontal="center"/>
    </xf>
    <xf numFmtId="0" fontId="0" fillId="0" borderId="42" xfId="0" applyBorder="1" applyAlignment="1">
      <alignment horizontal="center"/>
    </xf>
    <xf numFmtId="170" fontId="0" fillId="0" borderId="9" xfId="0" applyNumberFormat="1" applyBorder="1" applyAlignment="1">
      <alignment horizontal="center"/>
    </xf>
    <xf numFmtId="170" fontId="0" fillId="0" borderId="21" xfId="0" applyNumberFormat="1" applyBorder="1" applyAlignment="1">
      <alignment horizontal="center"/>
    </xf>
    <xf numFmtId="0" fontId="0" fillId="0" borderId="9" xfId="0" applyBorder="1"/>
    <xf numFmtId="0" fontId="0" fillId="0" borderId="21" xfId="0" applyBorder="1"/>
    <xf numFmtId="9" fontId="0" fillId="0" borderId="2" xfId="0" applyNumberFormat="1" applyBorder="1" applyAlignment="1">
      <alignment horizontal="center" vertical="center"/>
    </xf>
    <xf numFmtId="0" fontId="4" fillId="0" borderId="2" xfId="0" applyFont="1" applyBorder="1"/>
    <xf numFmtId="170" fontId="5" fillId="0" borderId="14" xfId="0" applyNumberFormat="1" applyFont="1" applyBorder="1" applyAlignment="1">
      <alignment horizontal="center"/>
    </xf>
    <xf numFmtId="0" fontId="4" fillId="0" borderId="14" xfId="0" applyFont="1" applyBorder="1"/>
    <xf numFmtId="0" fontId="5" fillId="0" borderId="18" xfId="0" applyFont="1" applyBorder="1" applyAlignment="1">
      <alignment horizontal="center"/>
    </xf>
    <xf numFmtId="171" fontId="0" fillId="0" borderId="2" xfId="0" applyNumberFormat="1" applyBorder="1" applyAlignment="1">
      <alignment horizontal="center" vertical="center"/>
    </xf>
    <xf numFmtId="0" fontId="0" fillId="6" borderId="45" xfId="0" applyFill="1" applyBorder="1" applyAlignment="1">
      <alignment vertical="center"/>
    </xf>
    <xf numFmtId="0" fontId="0" fillId="0" borderId="46" xfId="0" applyBorder="1" applyAlignment="1">
      <alignment vertical="center"/>
    </xf>
    <xf numFmtId="1" fontId="0" fillId="0" borderId="2" xfId="0" applyNumberFormat="1" applyBorder="1" applyAlignment="1">
      <alignment horizontal="center"/>
    </xf>
    <xf numFmtId="0" fontId="0" fillId="0" borderId="47" xfId="0" applyBorder="1" applyAlignment="1">
      <alignment horizontal="center"/>
    </xf>
    <xf numFmtId="0" fontId="0" fillId="0" borderId="47" xfId="0" applyBorder="1"/>
    <xf numFmtId="1" fontId="0" fillId="0" borderId="14" xfId="0" applyNumberFormat="1" applyBorder="1" applyAlignment="1">
      <alignment horizontal="center"/>
    </xf>
    <xf numFmtId="169" fontId="0" fillId="0" borderId="14" xfId="0" applyNumberFormat="1" applyBorder="1" applyAlignment="1">
      <alignment horizontal="center"/>
    </xf>
    <xf numFmtId="0" fontId="0" fillId="0" borderId="44" xfId="0" applyBorder="1" applyAlignment="1">
      <alignment horizontal="center"/>
    </xf>
    <xf numFmtId="0" fontId="0" fillId="0" borderId="44" xfId="0" applyBorder="1"/>
    <xf numFmtId="1" fontId="0" fillId="0" borderId="0" xfId="0" applyNumberFormat="1" applyAlignment="1">
      <alignment horizontal="center"/>
    </xf>
    <xf numFmtId="169" fontId="0" fillId="0" borderId="0" xfId="0" applyNumberFormat="1" applyAlignment="1">
      <alignment horizontal="center"/>
    </xf>
    <xf numFmtId="0" fontId="0" fillId="0" borderId="0" xfId="0" applyAlignment="1">
      <alignment horizontal="center"/>
    </xf>
    <xf numFmtId="0" fontId="0" fillId="0" borderId="16" xfId="0" applyBorder="1"/>
    <xf numFmtId="0" fontId="4" fillId="0" borderId="16" xfId="0" applyFont="1" applyBorder="1" applyAlignment="1">
      <alignment horizontal="left"/>
    </xf>
    <xf numFmtId="0" fontId="0" fillId="6" borderId="1" xfId="0" applyFill="1" applyBorder="1" applyAlignment="1">
      <alignment horizontal="center"/>
    </xf>
    <xf numFmtId="0" fontId="0" fillId="6" borderId="5" xfId="0" applyFill="1" applyBorder="1" applyAlignment="1">
      <alignment horizontal="center"/>
    </xf>
    <xf numFmtId="0" fontId="5" fillId="6" borderId="5" xfId="0" applyFont="1" applyFill="1" applyBorder="1" applyAlignment="1">
      <alignment horizontal="center"/>
    </xf>
    <xf numFmtId="0" fontId="0" fillId="6" borderId="6" xfId="0" applyFill="1" applyBorder="1" applyAlignment="1">
      <alignment horizontal="center"/>
    </xf>
    <xf numFmtId="0" fontId="0" fillId="6" borderId="5" xfId="0" applyFill="1" applyBorder="1"/>
    <xf numFmtId="2" fontId="5" fillId="0" borderId="6" xfId="0" applyNumberFormat="1" applyFont="1" applyBorder="1" applyAlignment="1">
      <alignment horizontal="center"/>
    </xf>
    <xf numFmtId="1" fontId="5" fillId="0" borderId="6" xfId="0" applyNumberFormat="1" applyFont="1" applyBorder="1" applyAlignment="1">
      <alignment horizontal="center"/>
    </xf>
    <xf numFmtId="172" fontId="5" fillId="0" borderId="6" xfId="0" applyNumberFormat="1" applyFont="1" applyBorder="1" applyAlignment="1">
      <alignment horizontal="center"/>
    </xf>
    <xf numFmtId="0" fontId="0" fillId="6" borderId="22" xfId="0" applyFill="1" applyBorder="1"/>
    <xf numFmtId="0" fontId="5" fillId="6" borderId="2" xfId="0" applyFont="1" applyFill="1" applyBorder="1" applyAlignment="1">
      <alignment horizontal="center"/>
    </xf>
    <xf numFmtId="2" fontId="5" fillId="0" borderId="9" xfId="0" applyNumberFormat="1" applyFont="1" applyBorder="1" applyAlignment="1">
      <alignment horizontal="center"/>
    </xf>
    <xf numFmtId="0" fontId="5" fillId="6" borderId="6" xfId="0" applyFont="1" applyFill="1" applyBorder="1" applyAlignment="1">
      <alignment horizontal="center"/>
    </xf>
    <xf numFmtId="0" fontId="8" fillId="0" borderId="6" xfId="0" applyFont="1" applyBorder="1" applyAlignment="1">
      <alignment horizontal="center"/>
    </xf>
    <xf numFmtId="0" fontId="0" fillId="6" borderId="48" xfId="0" applyFill="1" applyBorder="1"/>
    <xf numFmtId="171" fontId="5" fillId="0" borderId="6" xfId="0" applyNumberFormat="1" applyFont="1" applyBorder="1" applyAlignment="1">
      <alignment horizontal="center"/>
    </xf>
    <xf numFmtId="0" fontId="5" fillId="0" borderId="18" xfId="0" applyFont="1" applyBorder="1"/>
    <xf numFmtId="0" fontId="0" fillId="6" borderId="13" xfId="0" applyFill="1" applyBorder="1"/>
    <xf numFmtId="0" fontId="5" fillId="0" borderId="14" xfId="0" applyFont="1" applyBorder="1"/>
    <xf numFmtId="172" fontId="0" fillId="0" borderId="6" xfId="0" applyNumberFormat="1" applyBorder="1"/>
    <xf numFmtId="0" fontId="0" fillId="0" borderId="49" xfId="0" applyBorder="1"/>
    <xf numFmtId="0" fontId="0" fillId="4" borderId="1" xfId="0" applyFill="1" applyBorder="1"/>
    <xf numFmtId="0" fontId="0" fillId="4" borderId="2" xfId="0" applyFill="1" applyBorder="1"/>
    <xf numFmtId="0" fontId="0" fillId="4" borderId="3" xfId="0" applyFill="1" applyBorder="1"/>
    <xf numFmtId="0" fontId="2" fillId="5" borderId="17" xfId="0" applyFont="1" applyFill="1" applyBorder="1" applyAlignment="1">
      <alignment horizontal="left" vertical="center"/>
    </xf>
    <xf numFmtId="0" fontId="0" fillId="5" borderId="18" xfId="0" applyFill="1" applyBorder="1" applyAlignment="1">
      <alignment horizontal="center"/>
    </xf>
    <xf numFmtId="0" fontId="2" fillId="5" borderId="1" xfId="0" applyFont="1" applyFill="1" applyBorder="1" applyAlignment="1">
      <alignment horizontal="left" vertical="center"/>
    </xf>
    <xf numFmtId="0" fontId="0" fillId="5" borderId="46" xfId="0" applyFill="1" applyBorder="1" applyAlignment="1">
      <alignment horizontal="center" vertical="center"/>
    </xf>
    <xf numFmtId="0" fontId="0" fillId="5" borderId="3" xfId="0" applyFill="1" applyBorder="1" applyAlignment="1">
      <alignment horizontal="center"/>
    </xf>
    <xf numFmtId="165" fontId="0" fillId="0" borderId="7" xfId="0" applyNumberFormat="1" applyBorder="1"/>
    <xf numFmtId="1" fontId="0" fillId="0" borderId="7" xfId="0" applyNumberFormat="1" applyBorder="1"/>
    <xf numFmtId="171" fontId="0" fillId="0" borderId="0" xfId="0" applyNumberFormat="1"/>
    <xf numFmtId="0" fontId="2" fillId="0" borderId="0" xfId="0" applyFont="1"/>
    <xf numFmtId="0" fontId="0" fillId="8" borderId="6" xfId="0" applyFill="1" applyBorder="1"/>
    <xf numFmtId="0" fontId="2" fillId="5" borderId="5" xfId="0" applyFont="1" applyFill="1" applyBorder="1" applyAlignment="1">
      <alignment horizontal="left" vertical="center"/>
    </xf>
    <xf numFmtId="0" fontId="0" fillId="6" borderId="17" xfId="0" applyFill="1" applyBorder="1"/>
    <xf numFmtId="165" fontId="0" fillId="0" borderId="6" xfId="0" applyNumberFormat="1" applyBorder="1"/>
    <xf numFmtId="2" fontId="5" fillId="0" borderId="6" xfId="0" applyNumberFormat="1" applyFont="1" applyBorder="1"/>
    <xf numFmtId="0" fontId="6" fillId="0" borderId="0" xfId="0" applyFont="1" applyAlignment="1">
      <alignment horizontal="right"/>
    </xf>
    <xf numFmtId="165" fontId="5" fillId="0" borderId="7" xfId="0" applyNumberFormat="1" applyFont="1" applyBorder="1"/>
    <xf numFmtId="0" fontId="2" fillId="0" borderId="0" xfId="0" applyFont="1" applyAlignment="1">
      <alignment horizontal="left" vertical="center"/>
    </xf>
    <xf numFmtId="0" fontId="5" fillId="0" borderId="0" xfId="0" quotePrefix="1" applyFont="1"/>
    <xf numFmtId="11" fontId="0" fillId="0" borderId="0" xfId="0" applyNumberFormat="1"/>
    <xf numFmtId="169" fontId="0" fillId="0" borderId="8" xfId="0" applyNumberFormat="1" applyBorder="1"/>
    <xf numFmtId="9" fontId="0" fillId="0" borderId="0" xfId="0" applyNumberFormat="1"/>
    <xf numFmtId="0" fontId="2" fillId="3" borderId="0" xfId="0" applyFont="1" applyFill="1"/>
    <xf numFmtId="0" fontId="0" fillId="6" borderId="18" xfId="0" applyFill="1" applyBorder="1"/>
    <xf numFmtId="167" fontId="5" fillId="0" borderId="6" xfId="0" applyNumberFormat="1" applyFont="1" applyBorder="1"/>
    <xf numFmtId="167" fontId="0" fillId="0" borderId="6" xfId="0" applyNumberFormat="1" applyBorder="1"/>
    <xf numFmtId="172" fontId="5" fillId="0" borderId="6" xfId="0" applyNumberFormat="1" applyFont="1" applyBorder="1"/>
    <xf numFmtId="166" fontId="5" fillId="0" borderId="0" xfId="0" applyNumberFormat="1" applyFont="1"/>
    <xf numFmtId="172" fontId="0" fillId="0" borderId="7" xfId="0" applyNumberFormat="1" applyBorder="1"/>
    <xf numFmtId="172" fontId="5" fillId="0" borderId="7" xfId="0" applyNumberFormat="1" applyFont="1" applyBorder="1"/>
    <xf numFmtId="0" fontId="0" fillId="4" borderId="0" xfId="0" applyFill="1"/>
    <xf numFmtId="0" fontId="0" fillId="9" borderId="1" xfId="0" applyFill="1" applyBorder="1"/>
    <xf numFmtId="0" fontId="0" fillId="9" borderId="2" xfId="0" applyFill="1" applyBorder="1"/>
    <xf numFmtId="0" fontId="0" fillId="9" borderId="3" xfId="0" applyFill="1" applyBorder="1"/>
    <xf numFmtId="0" fontId="0" fillId="9" borderId="0" xfId="0" applyFill="1"/>
    <xf numFmtId="0" fontId="5" fillId="10" borderId="18" xfId="0" quotePrefix="1" applyFont="1" applyFill="1" applyBorder="1" applyAlignment="1">
      <alignment wrapText="1"/>
    </xf>
    <xf numFmtId="0" fontId="0" fillId="4" borderId="6" xfId="0" applyFill="1" applyBorder="1"/>
    <xf numFmtId="0" fontId="0" fillId="11" borderId="9" xfId="0" applyFill="1" applyBorder="1"/>
    <xf numFmtId="0" fontId="0" fillId="9" borderId="5" xfId="0" applyFill="1" applyBorder="1"/>
    <xf numFmtId="0" fontId="0" fillId="9" borderId="6" xfId="0" applyFill="1" applyBorder="1"/>
    <xf numFmtId="0" fontId="0" fillId="9" borderId="7" xfId="0" applyFill="1" applyBorder="1"/>
    <xf numFmtId="0" fontId="0" fillId="9" borderId="50" xfId="0" applyFill="1" applyBorder="1"/>
    <xf numFmtId="0" fontId="0" fillId="11" borderId="50" xfId="0" applyFill="1" applyBorder="1"/>
    <xf numFmtId="1" fontId="0" fillId="0" borderId="0" xfId="0" applyNumberFormat="1"/>
    <xf numFmtId="0" fontId="0" fillId="0" borderId="26" xfId="0" applyBorder="1" applyAlignment="1">
      <alignment horizontal="center"/>
    </xf>
    <xf numFmtId="0" fontId="0" fillId="0" borderId="51" xfId="0" applyBorder="1" applyAlignment="1">
      <alignment horizontal="center"/>
    </xf>
    <xf numFmtId="0" fontId="0" fillId="0" borderId="52" xfId="0" applyBorder="1"/>
    <xf numFmtId="0" fontId="0" fillId="0" borderId="50" xfId="0" applyBorder="1"/>
    <xf numFmtId="0" fontId="0" fillId="0" borderId="53" xfId="0" applyBorder="1"/>
    <xf numFmtId="0" fontId="0" fillId="11" borderId="5" xfId="0" applyFill="1" applyBorder="1"/>
    <xf numFmtId="0" fontId="0" fillId="11" borderId="6" xfId="0" applyFill="1" applyBorder="1"/>
    <xf numFmtId="0" fontId="0" fillId="11" borderId="7" xfId="0" applyFill="1" applyBorder="1"/>
    <xf numFmtId="0" fontId="0" fillId="12" borderId="54" xfId="0" applyFill="1" applyBorder="1"/>
    <xf numFmtId="0" fontId="0" fillId="12" borderId="55" xfId="0" applyFill="1" applyBorder="1"/>
    <xf numFmtId="0" fontId="0" fillId="12" borderId="56" xfId="0" applyFill="1" applyBorder="1"/>
    <xf numFmtId="0" fontId="0" fillId="4" borderId="25" xfId="0" applyFill="1" applyBorder="1" applyAlignment="1">
      <alignment horizontal="left"/>
    </xf>
    <xf numFmtId="0" fontId="0" fillId="4" borderId="20" xfId="0" applyFill="1" applyBorder="1" applyAlignment="1">
      <alignment horizontal="center" vertical="center"/>
    </xf>
    <xf numFmtId="11" fontId="0" fillId="0" borderId="0" xfId="0" applyNumberFormat="1" applyAlignment="1">
      <alignment horizontal="center"/>
    </xf>
    <xf numFmtId="0" fontId="5" fillId="0" borderId="0" xfId="0" applyFont="1" applyAlignment="1">
      <alignment horizontal="left" vertical="center"/>
    </xf>
    <xf numFmtId="0" fontId="4" fillId="0" borderId="0" xfId="0" applyFont="1" applyAlignment="1">
      <alignment horizontal="left"/>
    </xf>
    <xf numFmtId="0" fontId="0" fillId="6" borderId="13" xfId="0" applyFill="1" applyBorder="1" applyAlignment="1">
      <alignment horizontal="left"/>
    </xf>
    <xf numFmtId="0" fontId="0" fillId="6" borderId="2" xfId="0" applyFill="1" applyBorder="1" applyAlignment="1">
      <alignment horizontal="center"/>
    </xf>
    <xf numFmtId="0" fontId="5" fillId="0" borderId="18" xfId="0" applyFont="1" applyBorder="1" applyAlignment="1">
      <alignment horizontal="center" vertical="center"/>
    </xf>
    <xf numFmtId="0" fontId="0" fillId="6" borderId="22" xfId="0" applyFill="1" applyBorder="1" applyAlignment="1">
      <alignment vertical="center"/>
    </xf>
    <xf numFmtId="0" fontId="5" fillId="0" borderId="9" xfId="0" applyFont="1" applyBorder="1" applyAlignment="1">
      <alignment vertical="center"/>
    </xf>
    <xf numFmtId="0" fontId="5" fillId="0" borderId="6" xfId="0" applyFont="1" applyBorder="1" applyAlignment="1">
      <alignment vertical="center"/>
    </xf>
    <xf numFmtId="0" fontId="5" fillId="0" borderId="18" xfId="0" applyFont="1" applyBorder="1" applyAlignment="1">
      <alignment vertical="center"/>
    </xf>
    <xf numFmtId="0" fontId="5" fillId="0" borderId="9" xfId="0" applyFont="1" applyBorder="1" applyAlignment="1">
      <alignment horizontal="center" vertical="center"/>
    </xf>
    <xf numFmtId="1" fontId="5" fillId="0" borderId="6" xfId="0" applyNumberFormat="1" applyFont="1" applyBorder="1" applyAlignment="1">
      <alignment horizontal="center" vertical="center"/>
    </xf>
    <xf numFmtId="0" fontId="5" fillId="13" borderId="6" xfId="0" applyFont="1" applyFill="1" applyBorder="1" applyAlignment="1">
      <alignment horizontal="center"/>
    </xf>
    <xf numFmtId="0" fontId="0" fillId="6" borderId="49" xfId="0" applyFill="1" applyBorder="1" applyAlignment="1">
      <alignment horizontal="center"/>
    </xf>
    <xf numFmtId="0" fontId="0" fillId="0" borderId="6" xfId="0" applyBorder="1"/>
    <xf numFmtId="0" fontId="6" fillId="8" borderId="6" xfId="0" applyFont="1" applyFill="1" applyBorder="1" applyAlignment="1">
      <alignment horizontal="left"/>
    </xf>
    <xf numFmtId="0" fontId="2" fillId="4" borderId="23" xfId="0" applyFont="1" applyFill="1" applyBorder="1" applyAlignment="1">
      <alignment horizontal="center"/>
    </xf>
    <xf numFmtId="0" fontId="0" fillId="4" borderId="46" xfId="0" applyFill="1" applyBorder="1"/>
    <xf numFmtId="0" fontId="0" fillId="4" borderId="59" xfId="0" applyFill="1" applyBorder="1"/>
    <xf numFmtId="167" fontId="0" fillId="0" borderId="18" xfId="0" applyNumberFormat="1" applyBorder="1"/>
    <xf numFmtId="0" fontId="2" fillId="4" borderId="23" xfId="0" applyFont="1" applyFill="1" applyBorder="1" applyAlignment="1">
      <alignment horizontal="left"/>
    </xf>
    <xf numFmtId="2" fontId="0" fillId="0" borderId="0" xfId="0" applyNumberFormat="1"/>
    <xf numFmtId="0" fontId="6" fillId="0" borderId="6" xfId="0" applyFont="1" applyBorder="1" applyAlignment="1">
      <alignment horizontal="left"/>
    </xf>
    <xf numFmtId="173" fontId="0" fillId="0" borderId="0" xfId="0" applyNumberFormat="1"/>
    <xf numFmtId="173" fontId="12" fillId="16" borderId="6" xfId="2" applyNumberFormat="1">
      <alignment horizontal="center" vertical="center"/>
    </xf>
    <xf numFmtId="0" fontId="5" fillId="0" borderId="6" xfId="0" applyFont="1" applyBorder="1" applyAlignment="1">
      <alignment horizontal="left"/>
    </xf>
    <xf numFmtId="0" fontId="8" fillId="0" borderId="6" xfId="0" applyFont="1" applyBorder="1" applyAlignment="1">
      <alignment horizontal="left"/>
    </xf>
    <xf numFmtId="173" fontId="13" fillId="15" borderId="6" xfId="1">
      <alignment horizontal="center" vertical="center"/>
      <protection locked="0"/>
    </xf>
    <xf numFmtId="0" fontId="5" fillId="10" borderId="6" xfId="3">
      <alignment horizontal="left" vertical="center"/>
    </xf>
    <xf numFmtId="49" fontId="5" fillId="10" borderId="6" xfId="4">
      <alignment horizontal="center"/>
    </xf>
    <xf numFmtId="49" fontId="14" fillId="0" borderId="0" xfId="5">
      <alignment horizontal="center" vertical="center"/>
    </xf>
    <xf numFmtId="0" fontId="15" fillId="0" borderId="0" xfId="0" applyFont="1"/>
    <xf numFmtId="49" fontId="5" fillId="10" borderId="6" xfId="7">
      <alignment horizontal="left" wrapText="1"/>
    </xf>
    <xf numFmtId="173" fontId="13" fillId="15" borderId="6" xfId="1" applyNumberFormat="1">
      <alignment horizontal="center" vertical="center"/>
      <protection locked="0"/>
    </xf>
    <xf numFmtId="49" fontId="14" fillId="0" borderId="6" xfId="5" applyBorder="1">
      <alignment horizontal="center" vertical="center"/>
    </xf>
    <xf numFmtId="49" fontId="0" fillId="0" borderId="6" xfId="5" applyFont="1" applyBorder="1">
      <alignment horizontal="center" vertical="center"/>
    </xf>
    <xf numFmtId="49" fontId="0" fillId="0" borderId="0" xfId="5" applyFont="1">
      <alignment horizontal="center" vertical="center"/>
    </xf>
    <xf numFmtId="174" fontId="12" fillId="16" borderId="6" xfId="2" applyNumberFormat="1">
      <alignment horizontal="center" vertical="center"/>
    </xf>
    <xf numFmtId="174" fontId="13" fillId="15" borderId="6" xfId="1" applyNumberFormat="1">
      <alignment horizontal="center" vertical="center"/>
      <protection locked="0"/>
    </xf>
    <xf numFmtId="22" fontId="0" fillId="0" borderId="0" xfId="0" applyNumberFormat="1"/>
    <xf numFmtId="14" fontId="0" fillId="0" borderId="0" xfId="0" applyNumberFormat="1"/>
    <xf numFmtId="49" fontId="5" fillId="10" borderId="6" xfId="4" applyAlignment="1">
      <alignment horizontal="center" wrapText="1"/>
    </xf>
    <xf numFmtId="49" fontId="5" fillId="10" borderId="6" xfId="4" quotePrefix="1" applyAlignment="1">
      <alignment horizontal="center" wrapText="1"/>
    </xf>
    <xf numFmtId="49" fontId="14" fillId="0" borderId="0" xfId="5" applyAlignment="1">
      <alignment horizontal="center" vertical="center" wrapText="1"/>
    </xf>
    <xf numFmtId="173" fontId="12" fillId="16" borderId="6" xfId="2" applyNumberFormat="1" applyAlignment="1">
      <alignment horizontal="center" vertical="center" wrapText="1"/>
    </xf>
    <xf numFmtId="173" fontId="13" fillId="18" borderId="6" xfId="1" applyNumberFormat="1" applyFill="1">
      <alignment horizontal="center" vertical="center"/>
      <protection locked="0"/>
    </xf>
    <xf numFmtId="173" fontId="13" fillId="15" borderId="6" xfId="1" applyNumberFormat="1" applyAlignment="1">
      <alignment horizontal="center" vertical="center" wrapText="1"/>
      <protection locked="0"/>
    </xf>
    <xf numFmtId="173" fontId="21" fillId="17" borderId="6" xfId="2" applyNumberFormat="1" applyFont="1" applyFill="1">
      <alignment horizontal="center" vertical="center"/>
    </xf>
    <xf numFmtId="173" fontId="21" fillId="17" borderId="6" xfId="2" applyNumberFormat="1" applyFont="1" applyFill="1" applyAlignment="1">
      <alignment horizontal="center" vertical="center" wrapText="1"/>
    </xf>
    <xf numFmtId="0" fontId="5" fillId="10" borderId="6" xfId="0" applyFont="1" applyFill="1" applyBorder="1"/>
    <xf numFmtId="0" fontId="5" fillId="10" borderId="6" xfId="0" applyFont="1" applyFill="1" applyBorder="1" applyAlignment="1">
      <alignment horizontal="center"/>
    </xf>
    <xf numFmtId="0" fontId="5" fillId="19" borderId="6" xfId="0" applyFont="1" applyFill="1" applyBorder="1" applyAlignment="1">
      <alignment horizontal="center"/>
    </xf>
    <xf numFmtId="11" fontId="5" fillId="19" borderId="6" xfId="0" applyNumberFormat="1" applyFont="1" applyFill="1" applyBorder="1" applyAlignment="1">
      <alignment horizontal="center"/>
    </xf>
    <xf numFmtId="0" fontId="5" fillId="13" borderId="0" xfId="3" applyFill="1" applyBorder="1">
      <alignment horizontal="left" vertical="center"/>
    </xf>
    <xf numFmtId="49" fontId="5" fillId="0" borderId="0" xfId="7" applyFill="1" applyBorder="1">
      <alignment horizontal="left" wrapText="1"/>
    </xf>
    <xf numFmtId="49" fontId="5" fillId="0" borderId="0" xfId="4" applyFill="1" applyBorder="1">
      <alignment horizontal="center"/>
    </xf>
    <xf numFmtId="0" fontId="5" fillId="0" borderId="0" xfId="3" applyFill="1" applyBorder="1">
      <alignment horizontal="left" vertical="center"/>
    </xf>
    <xf numFmtId="173" fontId="13" fillId="0" borderId="0" xfId="1" applyFill="1" applyBorder="1">
      <alignment horizontal="center" vertical="center"/>
      <protection locked="0"/>
    </xf>
    <xf numFmtId="173" fontId="12" fillId="0" borderId="0" xfId="2" applyNumberFormat="1" applyFill="1" applyBorder="1">
      <alignment horizontal="center" vertical="center"/>
    </xf>
    <xf numFmtId="0" fontId="0" fillId="10" borderId="6" xfId="0" applyFill="1" applyBorder="1" applyAlignment="1">
      <alignment horizontal="left"/>
    </xf>
    <xf numFmtId="0" fontId="11" fillId="0" borderId="0" xfId="0" applyFont="1"/>
    <xf numFmtId="0" fontId="0" fillId="0" borderId="0" xfId="0" applyAlignment="1">
      <alignment vertical="center"/>
    </xf>
    <xf numFmtId="173" fontId="13" fillId="20" borderId="6" xfId="1" applyFill="1">
      <alignment horizontal="center" vertical="center"/>
      <protection locked="0"/>
    </xf>
    <xf numFmtId="9" fontId="0" fillId="0" borderId="0" xfId="14" applyFont="1"/>
    <xf numFmtId="0" fontId="0" fillId="0" borderId="0" xfId="0" applyAlignment="1">
      <alignment wrapText="1"/>
    </xf>
    <xf numFmtId="0" fontId="8" fillId="0" borderId="6" xfId="0" applyFont="1" applyBorder="1"/>
    <xf numFmtId="1" fontId="0" fillId="10" borderId="6" xfId="0" applyNumberFormat="1" applyFill="1" applyBorder="1"/>
    <xf numFmtId="169" fontId="0" fillId="19" borderId="6" xfId="0" applyNumberFormat="1" applyFill="1" applyBorder="1" applyAlignment="1">
      <alignment horizontal="center"/>
    </xf>
    <xf numFmtId="0" fontId="6" fillId="10" borderId="6" xfId="9" applyFill="1" applyBorder="1" applyAlignment="1"/>
    <xf numFmtId="0" fontId="0" fillId="10" borderId="6" xfId="0" applyFill="1" applyBorder="1"/>
    <xf numFmtId="2" fontId="0" fillId="19" borderId="6" xfId="0" applyNumberFormat="1" applyFill="1" applyBorder="1"/>
    <xf numFmtId="174" fontId="13" fillId="21" borderId="6" xfId="1" applyNumberFormat="1" applyFill="1">
      <alignment horizontal="center" vertical="center"/>
      <protection locked="0"/>
    </xf>
    <xf numFmtId="1" fontId="0" fillId="0" borderId="9" xfId="0" applyNumberFormat="1" applyBorder="1" applyAlignment="1">
      <alignment horizontal="center"/>
    </xf>
    <xf numFmtId="173" fontId="13" fillId="0" borderId="6" xfId="1" applyFill="1">
      <alignment horizontal="center" vertical="center"/>
      <protection locked="0"/>
    </xf>
    <xf numFmtId="49" fontId="5" fillId="4" borderId="6" xfId="7" applyFill="1">
      <alignment horizontal="left" wrapText="1"/>
    </xf>
    <xf numFmtId="170" fontId="0" fillId="0" borderId="0" xfId="0" applyNumberFormat="1"/>
    <xf numFmtId="0" fontId="6" fillId="0" borderId="0" xfId="9">
      <alignment vertical="center"/>
    </xf>
    <xf numFmtId="0" fontId="0" fillId="4" borderId="0" xfId="0" applyFill="1" applyAlignment="1">
      <alignment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0" borderId="0" xfId="0" applyAlignment="1">
      <alignment horizontal="left" vertical="center"/>
    </xf>
    <xf numFmtId="49" fontId="5" fillId="0" borderId="6" xfId="7" applyFill="1">
      <alignment horizontal="left" wrapText="1"/>
    </xf>
    <xf numFmtId="0" fontId="18" fillId="4" borderId="0" xfId="0" applyFont="1" applyFill="1" applyAlignment="1">
      <alignment horizontal="center"/>
    </xf>
    <xf numFmtId="0" fontId="2" fillId="5" borderId="37" xfId="0" applyFont="1" applyFill="1" applyBorder="1" applyAlignment="1">
      <alignment horizontal="center" vertical="center"/>
    </xf>
    <xf numFmtId="0" fontId="2" fillId="5" borderId="0" xfId="0" applyFont="1" applyFill="1" applyAlignment="1">
      <alignment horizontal="center" vertical="center"/>
    </xf>
    <xf numFmtId="0" fontId="3" fillId="4" borderId="29" xfId="0" applyFont="1" applyFill="1" applyBorder="1" applyAlignment="1">
      <alignment horizontal="center" vertical="center"/>
    </xf>
    <xf numFmtId="0" fontId="3" fillId="4" borderId="8"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6" xfId="0" applyFont="1" applyFill="1" applyBorder="1" applyAlignment="1">
      <alignment horizontal="center" vertical="center"/>
    </xf>
    <xf numFmtId="0" fontId="3" fillId="5" borderId="0" xfId="0" applyFont="1" applyFill="1" applyAlignment="1">
      <alignment horizontal="center" vertical="center"/>
    </xf>
    <xf numFmtId="0" fontId="3" fillId="5" borderId="20" xfId="0" applyFont="1" applyFill="1" applyBorder="1" applyAlignment="1">
      <alignment horizontal="center" vertical="center"/>
    </xf>
    <xf numFmtId="0" fontId="3" fillId="5" borderId="8" xfId="0" applyFont="1" applyFill="1" applyBorder="1" applyAlignment="1">
      <alignment horizontal="center" vertical="center"/>
    </xf>
    <xf numFmtId="0" fontId="3" fillId="5" borderId="23" xfId="0" applyFont="1" applyFill="1" applyBorder="1" applyAlignment="1">
      <alignment horizontal="center" vertical="center"/>
    </xf>
    <xf numFmtId="0" fontId="3" fillId="5" borderId="24" xfId="0" applyFont="1" applyFill="1" applyBorder="1" applyAlignment="1">
      <alignment horizontal="center" vertical="center"/>
    </xf>
    <xf numFmtId="0" fontId="3" fillId="5" borderId="25" xfId="0" applyFont="1" applyFill="1" applyBorder="1" applyAlignment="1">
      <alignment horizontal="center" vertical="center"/>
    </xf>
    <xf numFmtId="0" fontId="0" fillId="5" borderId="16" xfId="0" applyFill="1" applyBorder="1" applyAlignment="1">
      <alignment horizontal="center"/>
    </xf>
    <xf numFmtId="0" fontId="0" fillId="5" borderId="27" xfId="0" applyFill="1" applyBorder="1" applyAlignment="1">
      <alignment horizontal="center"/>
    </xf>
    <xf numFmtId="0" fontId="3" fillId="4" borderId="10" xfId="0" applyFont="1" applyFill="1" applyBorder="1" applyAlignment="1">
      <alignment horizontal="center" vertical="center"/>
    </xf>
    <xf numFmtId="0" fontId="3" fillId="4" borderId="11" xfId="0" applyFont="1" applyFill="1" applyBorder="1" applyAlignment="1">
      <alignment horizontal="center" vertical="center"/>
    </xf>
    <xf numFmtId="0" fontId="3" fillId="4" borderId="12" xfId="0" applyFont="1" applyFill="1" applyBorder="1" applyAlignment="1">
      <alignment horizontal="center" vertical="center"/>
    </xf>
    <xf numFmtId="0" fontId="3" fillId="5" borderId="27" xfId="0" applyFont="1" applyFill="1" applyBorder="1" applyAlignment="1">
      <alignment horizontal="center" vertical="center"/>
    </xf>
    <xf numFmtId="0" fontId="3" fillId="5" borderId="34" xfId="0" applyFont="1" applyFill="1" applyBorder="1" applyAlignment="1">
      <alignment horizontal="center" vertical="center"/>
    </xf>
    <xf numFmtId="0" fontId="3" fillId="5" borderId="35" xfId="0" applyFont="1" applyFill="1" applyBorder="1" applyAlignment="1">
      <alignment horizontal="center" vertical="center"/>
    </xf>
    <xf numFmtId="0" fontId="3" fillId="5" borderId="36" xfId="0" applyFont="1" applyFill="1" applyBorder="1" applyAlignment="1">
      <alignment horizontal="center" vertical="center"/>
    </xf>
    <xf numFmtId="0" fontId="3" fillId="5" borderId="37" xfId="0" applyFont="1" applyFill="1" applyBorder="1" applyAlignment="1">
      <alignment horizontal="center" vertical="center"/>
    </xf>
    <xf numFmtId="0" fontId="3" fillId="4" borderId="16" xfId="0" applyFont="1" applyFill="1" applyBorder="1" applyAlignment="1">
      <alignment horizontal="center" vertical="center"/>
    </xf>
    <xf numFmtId="0" fontId="3" fillId="4" borderId="0" xfId="0" applyFont="1" applyFill="1" applyAlignment="1">
      <alignment horizontal="center" vertical="center"/>
    </xf>
    <xf numFmtId="0" fontId="0" fillId="4" borderId="31" xfId="0" applyFill="1" applyBorder="1" applyAlignment="1">
      <alignment horizontal="center"/>
    </xf>
    <xf numFmtId="0" fontId="0" fillId="4" borderId="32" xfId="0" applyFill="1" applyBorder="1" applyAlignment="1">
      <alignment horizontal="center"/>
    </xf>
    <xf numFmtId="0" fontId="0" fillId="4" borderId="33" xfId="0" applyFill="1" applyBorder="1" applyAlignment="1">
      <alignment horizontal="center"/>
    </xf>
    <xf numFmtId="0" fontId="5" fillId="10" borderId="6" xfId="0" quotePrefix="1" applyFont="1" applyFill="1" applyBorder="1" applyAlignment="1">
      <alignment horizontal="center" vertical="center"/>
    </xf>
    <xf numFmtId="0" fontId="0" fillId="8" borderId="9" xfId="0" applyFill="1" applyBorder="1" applyAlignment="1">
      <alignment horizontal="center" vertical="center" wrapText="1"/>
    </xf>
    <xf numFmtId="0" fontId="0" fillId="8" borderId="18" xfId="0" applyFill="1" applyBorder="1" applyAlignment="1">
      <alignment horizontal="center" vertical="center" wrapText="1"/>
    </xf>
    <xf numFmtId="0" fontId="0" fillId="4" borderId="23" xfId="0" applyFill="1" applyBorder="1" applyAlignment="1">
      <alignment horizontal="left"/>
    </xf>
    <xf numFmtId="0" fontId="0" fillId="4" borderId="16" xfId="0" applyFill="1" applyBorder="1" applyAlignment="1">
      <alignment horizontal="left"/>
    </xf>
    <xf numFmtId="0" fontId="0" fillId="4" borderId="29" xfId="0" applyFill="1" applyBorder="1" applyAlignment="1">
      <alignment horizontal="left"/>
    </xf>
    <xf numFmtId="0" fontId="0" fillId="6" borderId="27" xfId="0" applyFill="1" applyBorder="1" applyAlignment="1">
      <alignment horizontal="center" vertical="center"/>
    </xf>
    <xf numFmtId="0" fontId="0" fillId="6" borderId="34" xfId="0" applyFill="1" applyBorder="1" applyAlignment="1">
      <alignment horizontal="center" vertical="center"/>
    </xf>
    <xf numFmtId="0" fontId="0" fillId="6" borderId="57" xfId="0" applyFill="1" applyBorder="1" applyAlignment="1">
      <alignment horizontal="center" vertical="center"/>
    </xf>
    <xf numFmtId="0" fontId="2" fillId="4" borderId="31" xfId="0" applyFont="1" applyFill="1" applyBorder="1" applyAlignment="1">
      <alignment horizontal="center"/>
    </xf>
    <xf numFmtId="0" fontId="2" fillId="4" borderId="32" xfId="0" applyFont="1" applyFill="1" applyBorder="1" applyAlignment="1">
      <alignment horizontal="center"/>
    </xf>
    <xf numFmtId="0" fontId="2" fillId="4" borderId="33" xfId="0" applyFont="1" applyFill="1" applyBorder="1" applyAlignment="1">
      <alignment horizontal="center"/>
    </xf>
    <xf numFmtId="0" fontId="0" fillId="0" borderId="0" xfId="0" applyAlignment="1">
      <alignment horizontal="center"/>
    </xf>
    <xf numFmtId="0" fontId="2" fillId="4" borderId="31" xfId="0" applyFont="1" applyFill="1" applyBorder="1" applyAlignment="1">
      <alignment horizontal="left"/>
    </xf>
    <xf numFmtId="0" fontId="2" fillId="4" borderId="32" xfId="0" applyFont="1" applyFill="1" applyBorder="1" applyAlignment="1">
      <alignment horizontal="left"/>
    </xf>
    <xf numFmtId="0" fontId="2" fillId="4" borderId="33" xfId="0" applyFont="1" applyFill="1" applyBorder="1" applyAlignment="1">
      <alignment horizontal="left"/>
    </xf>
    <xf numFmtId="0" fontId="0" fillId="14" borderId="49" xfId="0" applyFill="1" applyBorder="1" applyAlignment="1">
      <alignment horizontal="center" vertical="center"/>
    </xf>
    <xf numFmtId="0" fontId="0" fillId="14" borderId="58" xfId="0" applyFill="1" applyBorder="1" applyAlignment="1">
      <alignment horizontal="center" vertical="center"/>
    </xf>
    <xf numFmtId="0" fontId="0" fillId="14" borderId="4" xfId="0" applyFill="1" applyBorder="1" applyAlignment="1">
      <alignment horizontal="center" vertical="center"/>
    </xf>
    <xf numFmtId="0" fontId="5" fillId="10" borderId="49" xfId="0" quotePrefix="1" applyFont="1" applyFill="1" applyBorder="1" applyAlignment="1">
      <alignment horizontal="center" vertical="center"/>
    </xf>
    <xf numFmtId="0" fontId="5" fillId="10" borderId="58" xfId="0" quotePrefix="1" applyFont="1" applyFill="1" applyBorder="1" applyAlignment="1">
      <alignment horizontal="center" vertical="center"/>
    </xf>
    <xf numFmtId="0" fontId="5" fillId="10" borderId="4" xfId="0" quotePrefix="1" applyFont="1" applyFill="1" applyBorder="1" applyAlignment="1">
      <alignment horizontal="center" vertical="center"/>
    </xf>
    <xf numFmtId="0" fontId="0" fillId="22" borderId="43" xfId="0" applyFill="1" applyBorder="1" applyAlignment="1">
      <alignment horizontal="center"/>
    </xf>
    <xf numFmtId="0" fontId="0" fillId="22" borderId="60" xfId="0" applyFill="1" applyBorder="1" applyAlignment="1">
      <alignment horizontal="center"/>
    </xf>
  </cellXfs>
  <cellStyles count="15">
    <cellStyle name="Comma 2" xfId="12" xr:uid="{00000000-0005-0000-0000-000000000000}"/>
    <cellStyle name="data_source" xfId="6" xr:uid="{00000000-0005-0000-0000-000001000000}"/>
    <cellStyle name="header_column" xfId="4" xr:uid="{00000000-0005-0000-0000-000002000000}"/>
    <cellStyle name="header_row" xfId="3" xr:uid="{00000000-0005-0000-0000-000003000000}"/>
    <cellStyle name="header_table" xfId="7" xr:uid="{00000000-0005-0000-0000-000004000000}"/>
    <cellStyle name="input_fixed" xfId="2" xr:uid="{00000000-0005-0000-0000-000005000000}"/>
    <cellStyle name="input_mandatory" xfId="1" xr:uid="{00000000-0005-0000-0000-000006000000}"/>
    <cellStyle name="Normal" xfId="0" builtinId="0"/>
    <cellStyle name="Normal 2" xfId="9" xr:uid="{00000000-0005-0000-0000-000007000000}"/>
    <cellStyle name="Normal 2 2" xfId="13" xr:uid="{00000000-0005-0000-0000-000008000000}"/>
    <cellStyle name="Normal 3" xfId="11" xr:uid="{00000000-0005-0000-0000-000009000000}"/>
    <cellStyle name="NumFormat_dec0" xfId="8" xr:uid="{00000000-0005-0000-0000-00000A000000}"/>
    <cellStyle name="Percent 2" xfId="10" xr:uid="{00000000-0005-0000-0000-00000B000000}"/>
    <cellStyle name="Porcentaje" xfId="14" builtinId="5"/>
    <cellStyle name="Unit" xfId="5" xr:uid="{00000000-0005-0000-0000-00000E000000}"/>
  </cellStyles>
  <dxfs count="1">
    <dxf>
      <font>
        <color rgb="FF9C0006"/>
      </font>
      <fill>
        <patternFill>
          <bgColor rgb="FFFFC7CE"/>
        </patternFill>
      </fill>
    </dxf>
  </dxfs>
  <tableStyles count="0" defaultTableStyle="TableStyleMedium2" defaultPivotStyle="PivotStyleLight16"/>
  <colors>
    <mruColors>
      <color rgb="FFFF0000"/>
      <color rgb="FF66FF33"/>
      <color rgb="FFED7D31"/>
      <color rgb="FF70AD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4" name="Rechteck 3">
          <a:extLst>
            <a:ext uri="{FF2B5EF4-FFF2-40B4-BE49-F238E27FC236}">
              <a16:creationId xmlns:a16="http://schemas.microsoft.com/office/drawing/2014/main" id="{00000000-0008-0000-0100-000004000000}"/>
            </a:ext>
          </a:extLst>
        </xdr:cNvPr>
        <xdr:cNvSpPr/>
      </xdr:nvSpPr>
      <xdr:spPr>
        <a:xfrm>
          <a:off x="5356411" y="500530"/>
          <a:ext cx="5124823" cy="791882"/>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5" name="Rechteck 4">
          <a:extLst>
            <a:ext uri="{FF2B5EF4-FFF2-40B4-BE49-F238E27FC236}">
              <a16:creationId xmlns:a16="http://schemas.microsoft.com/office/drawing/2014/main" id="{00000000-0008-0000-0100-000005000000}"/>
            </a:ext>
          </a:extLst>
        </xdr:cNvPr>
        <xdr:cNvSpPr/>
      </xdr:nvSpPr>
      <xdr:spPr>
        <a:xfrm>
          <a:off x="5550647" y="1770529"/>
          <a:ext cx="5124823" cy="791882"/>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6" name="Rechteck 5">
          <a:extLst>
            <a:ext uri="{FF2B5EF4-FFF2-40B4-BE49-F238E27FC236}">
              <a16:creationId xmlns:a16="http://schemas.microsoft.com/office/drawing/2014/main" id="{00000000-0008-0000-0100-000006000000}"/>
            </a:ext>
          </a:extLst>
        </xdr:cNvPr>
        <xdr:cNvSpPr/>
      </xdr:nvSpPr>
      <xdr:spPr>
        <a:xfrm>
          <a:off x="5483412" y="3399117"/>
          <a:ext cx="5124823" cy="795618"/>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3</xdr:col>
      <xdr:colOff>136071</xdr:colOff>
      <xdr:row>23</xdr:row>
      <xdr:rowOff>163286</xdr:rowOff>
    </xdr:from>
    <xdr:to>
      <xdr:col>4</xdr:col>
      <xdr:colOff>2280129</xdr:colOff>
      <xdr:row>24</xdr:row>
      <xdr:rowOff>0</xdr:rowOff>
    </xdr:to>
    <xdr:sp macro="" textlink="">
      <xdr:nvSpPr>
        <xdr:cNvPr id="7" name="Rechteck 6">
          <a:extLst>
            <a:ext uri="{FF2B5EF4-FFF2-40B4-BE49-F238E27FC236}">
              <a16:creationId xmlns:a16="http://schemas.microsoft.com/office/drawing/2014/main" id="{00000000-0008-0000-0100-000007000000}"/>
            </a:ext>
          </a:extLst>
        </xdr:cNvPr>
        <xdr:cNvSpPr/>
      </xdr:nvSpPr>
      <xdr:spPr>
        <a:xfrm>
          <a:off x="9561285" y="4363357"/>
          <a:ext cx="5128558" cy="959437"/>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marL="0" marR="0" lvl="0" indent="0" algn="r" defTabSz="914400" eaLnBrk="1" fontAlgn="auto" latinLnBrk="0" hangingPunct="1">
            <a:lnSpc>
              <a:spcPct val="100000"/>
            </a:lnSpc>
            <a:spcBef>
              <a:spcPts val="0"/>
            </a:spcBef>
            <a:spcAft>
              <a:spcPts val="0"/>
            </a:spcAft>
            <a:buClrTx/>
            <a:buSzTx/>
            <a:buFontTx/>
            <a:buNone/>
            <a:tabLst/>
            <a:defRPr/>
          </a:pPr>
          <a:r>
            <a:rPr lang="en-IE" sz="1100">
              <a:solidFill>
                <a:schemeClr val="lt1"/>
              </a:solidFill>
              <a:effectLst/>
              <a:latin typeface="+mn-lt"/>
              <a:ea typeface="+mn-ea"/>
              <a:cs typeface="+mn-cs"/>
            </a:rPr>
            <a:t>Flexibility technologies utilization</a:t>
          </a:r>
          <a:r>
            <a:rPr lang="en-IE" sz="1100" baseline="0">
              <a:solidFill>
                <a:schemeClr val="lt1"/>
              </a:solidFill>
              <a:effectLst/>
              <a:latin typeface="+mn-lt"/>
              <a:ea typeface="+mn-ea"/>
              <a:cs typeface="+mn-cs"/>
            </a:rPr>
            <a:t>: </a:t>
          </a:r>
          <a:r>
            <a:rPr lang="en-IE" sz="1100">
              <a:solidFill>
                <a:schemeClr val="lt1"/>
              </a:solidFill>
              <a:effectLst/>
              <a:latin typeface="+mn-lt"/>
              <a:ea typeface="+mn-ea"/>
              <a:cs typeface="+mn-cs"/>
            </a:rPr>
            <a:t>If Capacity is 0, process is de-facto disabeled</a:t>
          </a:r>
        </a:p>
        <a:p>
          <a:pPr algn="r"/>
          <a:r>
            <a:rPr lang="de-AT" sz="1100">
              <a:solidFill>
                <a:schemeClr val="bg1"/>
              </a:solidFill>
            </a:rPr>
            <a:t>Capacities</a:t>
          </a:r>
          <a:r>
            <a:rPr lang="de-AT" sz="1100" baseline="0">
              <a:solidFill>
                <a:schemeClr val="bg1"/>
              </a:solidFill>
            </a:rPr>
            <a:t> stock and utlization should be modelled endogeneously!</a:t>
          </a:r>
          <a:endParaRPr lang="de-AT" sz="1100">
            <a:solidFill>
              <a:schemeClr val="bg1"/>
            </a:solidFill>
          </a:endParaRPr>
        </a:p>
      </xdr:txBody>
    </xdr:sp>
    <xdr:clientData/>
  </xdr:twoCellAnchor>
  <xdr:twoCellAnchor>
    <xdr:from>
      <xdr:col>2</xdr:col>
      <xdr:colOff>1231239</xdr:colOff>
      <xdr:row>36</xdr:row>
      <xdr:rowOff>39998</xdr:rowOff>
    </xdr:from>
    <xdr:to>
      <xdr:col>5</xdr:col>
      <xdr:colOff>2922929</xdr:colOff>
      <xdr:row>48</xdr:row>
      <xdr:rowOff>175352</xdr:rowOff>
    </xdr:to>
    <xdr:sp macro="" textlink="">
      <xdr:nvSpPr>
        <xdr:cNvPr id="14" name="Rechteck 13">
          <a:extLst>
            <a:ext uri="{FF2B5EF4-FFF2-40B4-BE49-F238E27FC236}">
              <a16:creationId xmlns:a16="http://schemas.microsoft.com/office/drawing/2014/main" id="{00000000-0008-0000-0100-00000E000000}"/>
            </a:ext>
          </a:extLst>
        </xdr:cNvPr>
        <xdr:cNvSpPr/>
      </xdr:nvSpPr>
      <xdr:spPr>
        <a:xfrm>
          <a:off x="7191168" y="9211212"/>
          <a:ext cx="11067011"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10" name="Rechteck 9">
          <a:extLst>
            <a:ext uri="{FF2B5EF4-FFF2-40B4-BE49-F238E27FC236}">
              <a16:creationId xmlns:a16="http://schemas.microsoft.com/office/drawing/2014/main" id="{00000000-0008-0000-0100-00000A000000}"/>
            </a:ext>
          </a:extLst>
        </xdr:cNvPr>
        <xdr:cNvSpPr/>
      </xdr:nvSpPr>
      <xdr:spPr>
        <a:xfrm>
          <a:off x="7158182" y="26785455"/>
          <a:ext cx="5137727" cy="838200"/>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1" name="Rechteck 10">
          <a:extLst>
            <a:ext uri="{FF2B5EF4-FFF2-40B4-BE49-F238E27FC236}">
              <a16:creationId xmlns:a16="http://schemas.microsoft.com/office/drawing/2014/main" id="{00000000-0008-0000-0100-00000B000000}"/>
            </a:ext>
          </a:extLst>
        </xdr:cNvPr>
        <xdr:cNvSpPr/>
      </xdr:nvSpPr>
      <xdr:spPr>
        <a:xfrm>
          <a:off x="6839857" y="27722286"/>
          <a:ext cx="7594023" cy="2708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4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4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4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3</xdr:col>
      <xdr:colOff>863848</xdr:colOff>
      <xdr:row>49</xdr:row>
      <xdr:rowOff>148855</xdr:rowOff>
    </xdr:from>
    <xdr:to>
      <xdr:col>6</xdr:col>
      <xdr:colOff>1317287</xdr:colOff>
      <xdr:row>62</xdr:row>
      <xdr:rowOff>93709</xdr:rowOff>
    </xdr:to>
    <xdr:sp macro="" textlink="">
      <xdr:nvSpPr>
        <xdr:cNvPr id="8" name="Rechteck 7">
          <a:extLst>
            <a:ext uri="{FF2B5EF4-FFF2-40B4-BE49-F238E27FC236}">
              <a16:creationId xmlns:a16="http://schemas.microsoft.com/office/drawing/2014/main" id="{00000000-0008-0000-0400-000008000000}"/>
            </a:ext>
          </a:extLst>
        </xdr:cNvPr>
        <xdr:cNvSpPr/>
      </xdr:nvSpPr>
      <xdr:spPr>
        <a:xfrm>
          <a:off x="9858169" y="11796569"/>
          <a:ext cx="11067011"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1095334</xdr:colOff>
      <xdr:row>79</xdr:row>
      <xdr:rowOff>9072</xdr:rowOff>
    </xdr:from>
    <xdr:to>
      <xdr:col>4</xdr:col>
      <xdr:colOff>344715</xdr:colOff>
      <xdr:row>84</xdr:row>
      <xdr:rowOff>180934</xdr:rowOff>
    </xdr:to>
    <xdr:sp macro="" textlink="">
      <xdr:nvSpPr>
        <xdr:cNvPr id="9" name="Rechteck 8">
          <a:extLst>
            <a:ext uri="{FF2B5EF4-FFF2-40B4-BE49-F238E27FC236}">
              <a16:creationId xmlns:a16="http://schemas.microsoft.com/office/drawing/2014/main" id="{00000000-0008-0000-0400-000009000000}"/>
            </a:ext>
          </a:extLst>
        </xdr:cNvPr>
        <xdr:cNvSpPr/>
      </xdr:nvSpPr>
      <xdr:spPr>
        <a:xfrm>
          <a:off x="7345548" y="25182286"/>
          <a:ext cx="5408881" cy="1079005"/>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263071</xdr:colOff>
      <xdr:row>87</xdr:row>
      <xdr:rowOff>335643</xdr:rowOff>
    </xdr:from>
    <xdr:to>
      <xdr:col>4</xdr:col>
      <xdr:colOff>1688523</xdr:colOff>
      <xdr:row>102</xdr:row>
      <xdr:rowOff>132551</xdr:rowOff>
    </xdr:to>
    <xdr:sp macro="" textlink="">
      <xdr:nvSpPr>
        <xdr:cNvPr id="10" name="Rechteck 9">
          <a:extLst>
            <a:ext uri="{FF2B5EF4-FFF2-40B4-BE49-F238E27FC236}">
              <a16:creationId xmlns:a16="http://schemas.microsoft.com/office/drawing/2014/main" id="{00000000-0008-0000-0400-00000A000000}"/>
            </a:ext>
          </a:extLst>
        </xdr:cNvPr>
        <xdr:cNvSpPr/>
      </xdr:nvSpPr>
      <xdr:spPr>
        <a:xfrm>
          <a:off x="6513285" y="29509357"/>
          <a:ext cx="7584952" cy="2708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twoCellAnchor>
    <xdr:from>
      <xdr:col>5</xdr:col>
      <xdr:colOff>2432478</xdr:colOff>
      <xdr:row>122</xdr:row>
      <xdr:rowOff>86445</xdr:rowOff>
    </xdr:from>
    <xdr:to>
      <xdr:col>7</xdr:col>
      <xdr:colOff>3538845</xdr:colOff>
      <xdr:row>139</xdr:row>
      <xdr:rowOff>72838</xdr:rowOff>
    </xdr:to>
    <xdr:sp macro="" textlink="">
      <xdr:nvSpPr>
        <xdr:cNvPr id="15" name="Rechteck 14">
          <a:extLst>
            <a:ext uri="{FF2B5EF4-FFF2-40B4-BE49-F238E27FC236}">
              <a16:creationId xmlns:a16="http://schemas.microsoft.com/office/drawing/2014/main" id="{00000000-0008-0000-0400-00000D000000}"/>
            </a:ext>
          </a:extLst>
        </xdr:cNvPr>
        <xdr:cNvSpPr/>
      </xdr:nvSpPr>
      <xdr:spPr>
        <a:xfrm>
          <a:off x="17762125" y="36348680"/>
          <a:ext cx="9275455" cy="322489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Full</a:t>
          </a:r>
          <a:r>
            <a:rPr lang="de-AT" sz="3600" b="1" baseline="0">
              <a:solidFill>
                <a:srgbClr val="00B050"/>
              </a:solidFill>
            </a:rPr>
            <a:t> load hours</a:t>
          </a:r>
        </a:p>
        <a:p>
          <a:pPr algn="r"/>
          <a:r>
            <a:rPr lang="de-AT" sz="3600" b="1">
              <a:solidFill>
                <a:schemeClr val="accent2"/>
              </a:solidFill>
            </a:rPr>
            <a:t>for</a:t>
          </a:r>
          <a:r>
            <a:rPr lang="de-AT" sz="3600" b="1" baseline="0">
              <a:solidFill>
                <a:schemeClr val="accent2"/>
              </a:solidFill>
            </a:rPr>
            <a:t> EU 27 + UK individually determined, other  8 world regions have values from EU 27</a:t>
          </a:r>
        </a:p>
        <a:p>
          <a:pPr marL="0" indent="0" algn="r"/>
          <a:r>
            <a:rPr lang="de-AT" sz="3600" b="1">
              <a:solidFill>
                <a:srgbClr val="00B050"/>
              </a:solidFill>
              <a:latin typeface="+mn-lt"/>
              <a:ea typeface="+mn-ea"/>
              <a:cs typeface="+mn-cs"/>
            </a:rPr>
            <a:t>max. annual growth rates</a:t>
          </a:r>
        </a:p>
        <a:p>
          <a:pPr marL="0" indent="0" algn="r"/>
          <a:r>
            <a:rPr lang="de-AT" sz="3600" b="1" baseline="0">
              <a:solidFill>
                <a:schemeClr val="accent2"/>
              </a:solidFill>
              <a:latin typeface="+mn-lt"/>
              <a:ea typeface="+mn-ea"/>
              <a:cs typeface="+mn-cs"/>
            </a:rPr>
            <a:t>to be updated an aligned for all regions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A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A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A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3</xdr:col>
      <xdr:colOff>768597</xdr:colOff>
      <xdr:row>41</xdr:row>
      <xdr:rowOff>80819</xdr:rowOff>
    </xdr:from>
    <xdr:to>
      <xdr:col>6</xdr:col>
      <xdr:colOff>1222036</xdr:colOff>
      <xdr:row>54</xdr:row>
      <xdr:rowOff>25673</xdr:rowOff>
    </xdr:to>
    <xdr:sp macro="" textlink="">
      <xdr:nvSpPr>
        <xdr:cNvPr id="8" name="Rechteck 7">
          <a:extLst>
            <a:ext uri="{FF2B5EF4-FFF2-40B4-BE49-F238E27FC236}">
              <a16:creationId xmlns:a16="http://schemas.microsoft.com/office/drawing/2014/main" id="{00000000-0008-0000-0A00-000008000000}"/>
            </a:ext>
          </a:extLst>
        </xdr:cNvPr>
        <xdr:cNvSpPr/>
      </xdr:nvSpPr>
      <xdr:spPr>
        <a:xfrm>
          <a:off x="9762918" y="10204533"/>
          <a:ext cx="11067011"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A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2249714</xdr:colOff>
      <xdr:row>87</xdr:row>
      <xdr:rowOff>308428</xdr:rowOff>
    </xdr:from>
    <xdr:to>
      <xdr:col>5</xdr:col>
      <xdr:colOff>10309</xdr:colOff>
      <xdr:row>102</xdr:row>
      <xdr:rowOff>105336</xdr:rowOff>
    </xdr:to>
    <xdr:sp macro="" textlink="">
      <xdr:nvSpPr>
        <xdr:cNvPr id="10" name="Rechteck 9">
          <a:extLst>
            <a:ext uri="{FF2B5EF4-FFF2-40B4-BE49-F238E27FC236}">
              <a16:creationId xmlns:a16="http://schemas.microsoft.com/office/drawing/2014/main" id="{00000000-0008-0000-0A00-00000A000000}"/>
            </a:ext>
          </a:extLst>
        </xdr:cNvPr>
        <xdr:cNvSpPr/>
      </xdr:nvSpPr>
      <xdr:spPr>
        <a:xfrm>
          <a:off x="8499928" y="27114499"/>
          <a:ext cx="7584952" cy="2708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3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3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3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3</xdr:col>
      <xdr:colOff>1448955</xdr:colOff>
      <xdr:row>47</xdr:row>
      <xdr:rowOff>108034</xdr:rowOff>
    </xdr:from>
    <xdr:to>
      <xdr:col>6</xdr:col>
      <xdr:colOff>1902394</xdr:colOff>
      <xdr:row>60</xdr:row>
      <xdr:rowOff>52888</xdr:rowOff>
    </xdr:to>
    <xdr:sp macro="" textlink="">
      <xdr:nvSpPr>
        <xdr:cNvPr id="8" name="Rechteck 7">
          <a:extLst>
            <a:ext uri="{FF2B5EF4-FFF2-40B4-BE49-F238E27FC236}">
              <a16:creationId xmlns:a16="http://schemas.microsoft.com/office/drawing/2014/main" id="{00000000-0008-0000-0300-000008000000}"/>
            </a:ext>
          </a:extLst>
        </xdr:cNvPr>
        <xdr:cNvSpPr/>
      </xdr:nvSpPr>
      <xdr:spPr>
        <a:xfrm>
          <a:off x="10443276" y="11374748"/>
          <a:ext cx="11067011"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3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3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2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2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2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1639454</xdr:colOff>
      <xdr:row>41</xdr:row>
      <xdr:rowOff>80819</xdr:rowOff>
    </xdr:from>
    <xdr:to>
      <xdr:col>5</xdr:col>
      <xdr:colOff>3331144</xdr:colOff>
      <xdr:row>54</xdr:row>
      <xdr:rowOff>25673</xdr:rowOff>
    </xdr:to>
    <xdr:sp macro="" textlink="">
      <xdr:nvSpPr>
        <xdr:cNvPr id="8" name="Rechteck 7">
          <a:extLst>
            <a:ext uri="{FF2B5EF4-FFF2-40B4-BE49-F238E27FC236}">
              <a16:creationId xmlns:a16="http://schemas.microsoft.com/office/drawing/2014/main" id="{00000000-0008-0000-0200-000008000000}"/>
            </a:ext>
          </a:extLst>
        </xdr:cNvPr>
        <xdr:cNvSpPr/>
      </xdr:nvSpPr>
      <xdr:spPr>
        <a:xfrm>
          <a:off x="7602104" y="21445394"/>
          <a:ext cx="11064290"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2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2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5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5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5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1639454</xdr:colOff>
      <xdr:row>41</xdr:row>
      <xdr:rowOff>80819</xdr:rowOff>
    </xdr:from>
    <xdr:to>
      <xdr:col>5</xdr:col>
      <xdr:colOff>3331144</xdr:colOff>
      <xdr:row>54</xdr:row>
      <xdr:rowOff>25673</xdr:rowOff>
    </xdr:to>
    <xdr:sp macro="" textlink="">
      <xdr:nvSpPr>
        <xdr:cNvPr id="8" name="Rechteck 7">
          <a:extLst>
            <a:ext uri="{FF2B5EF4-FFF2-40B4-BE49-F238E27FC236}">
              <a16:creationId xmlns:a16="http://schemas.microsoft.com/office/drawing/2014/main" id="{00000000-0008-0000-0500-000008000000}"/>
            </a:ext>
          </a:extLst>
        </xdr:cNvPr>
        <xdr:cNvSpPr/>
      </xdr:nvSpPr>
      <xdr:spPr>
        <a:xfrm>
          <a:off x="7602104" y="21445394"/>
          <a:ext cx="11064290"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5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5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6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6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6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1639454</xdr:colOff>
      <xdr:row>41</xdr:row>
      <xdr:rowOff>80819</xdr:rowOff>
    </xdr:from>
    <xdr:to>
      <xdr:col>5</xdr:col>
      <xdr:colOff>3331144</xdr:colOff>
      <xdr:row>54</xdr:row>
      <xdr:rowOff>25673</xdr:rowOff>
    </xdr:to>
    <xdr:sp macro="" textlink="">
      <xdr:nvSpPr>
        <xdr:cNvPr id="8" name="Rechteck 7">
          <a:extLst>
            <a:ext uri="{FF2B5EF4-FFF2-40B4-BE49-F238E27FC236}">
              <a16:creationId xmlns:a16="http://schemas.microsoft.com/office/drawing/2014/main" id="{00000000-0008-0000-0600-000008000000}"/>
            </a:ext>
          </a:extLst>
        </xdr:cNvPr>
        <xdr:cNvSpPr/>
      </xdr:nvSpPr>
      <xdr:spPr>
        <a:xfrm>
          <a:off x="7602104" y="21445394"/>
          <a:ext cx="11064290"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6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6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8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8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8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1639454</xdr:colOff>
      <xdr:row>41</xdr:row>
      <xdr:rowOff>80819</xdr:rowOff>
    </xdr:from>
    <xdr:to>
      <xdr:col>5</xdr:col>
      <xdr:colOff>3331144</xdr:colOff>
      <xdr:row>54</xdr:row>
      <xdr:rowOff>25673</xdr:rowOff>
    </xdr:to>
    <xdr:sp macro="" textlink="">
      <xdr:nvSpPr>
        <xdr:cNvPr id="8" name="Rechteck 7">
          <a:extLst>
            <a:ext uri="{FF2B5EF4-FFF2-40B4-BE49-F238E27FC236}">
              <a16:creationId xmlns:a16="http://schemas.microsoft.com/office/drawing/2014/main" id="{00000000-0008-0000-0800-000008000000}"/>
            </a:ext>
          </a:extLst>
        </xdr:cNvPr>
        <xdr:cNvSpPr/>
      </xdr:nvSpPr>
      <xdr:spPr>
        <a:xfrm>
          <a:off x="7602104" y="21445394"/>
          <a:ext cx="11064290"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8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8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9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9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9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1639454</xdr:colOff>
      <xdr:row>41</xdr:row>
      <xdr:rowOff>80819</xdr:rowOff>
    </xdr:from>
    <xdr:to>
      <xdr:col>5</xdr:col>
      <xdr:colOff>3331144</xdr:colOff>
      <xdr:row>54</xdr:row>
      <xdr:rowOff>25673</xdr:rowOff>
    </xdr:to>
    <xdr:sp macro="" textlink="">
      <xdr:nvSpPr>
        <xdr:cNvPr id="8" name="Rechteck 7">
          <a:extLst>
            <a:ext uri="{FF2B5EF4-FFF2-40B4-BE49-F238E27FC236}">
              <a16:creationId xmlns:a16="http://schemas.microsoft.com/office/drawing/2014/main" id="{00000000-0008-0000-0900-000008000000}"/>
            </a:ext>
          </a:extLst>
        </xdr:cNvPr>
        <xdr:cNvSpPr/>
      </xdr:nvSpPr>
      <xdr:spPr>
        <a:xfrm>
          <a:off x="7602104" y="21445394"/>
          <a:ext cx="11064290"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9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9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7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7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7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1639454</xdr:colOff>
      <xdr:row>41</xdr:row>
      <xdr:rowOff>80819</xdr:rowOff>
    </xdr:from>
    <xdr:to>
      <xdr:col>5</xdr:col>
      <xdr:colOff>3331144</xdr:colOff>
      <xdr:row>54</xdr:row>
      <xdr:rowOff>25673</xdr:rowOff>
    </xdr:to>
    <xdr:sp macro="" textlink="">
      <xdr:nvSpPr>
        <xdr:cNvPr id="8" name="Rechteck 7">
          <a:extLst>
            <a:ext uri="{FF2B5EF4-FFF2-40B4-BE49-F238E27FC236}">
              <a16:creationId xmlns:a16="http://schemas.microsoft.com/office/drawing/2014/main" id="{00000000-0008-0000-0700-000008000000}"/>
            </a:ext>
          </a:extLst>
        </xdr:cNvPr>
        <xdr:cNvSpPr/>
      </xdr:nvSpPr>
      <xdr:spPr>
        <a:xfrm>
          <a:off x="7602104" y="21445394"/>
          <a:ext cx="11064290"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7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7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447675</xdr:colOff>
      <xdr:row>9</xdr:row>
      <xdr:rowOff>85725</xdr:rowOff>
    </xdr:from>
    <xdr:to>
      <xdr:col>3</xdr:col>
      <xdr:colOff>1266825</xdr:colOff>
      <xdr:row>13</xdr:row>
      <xdr:rowOff>161925</xdr:rowOff>
    </xdr:to>
    <xdr:sp macro="" textlink="">
      <xdr:nvSpPr>
        <xdr:cNvPr id="2" name="Rechteck 1">
          <a:extLst>
            <a:ext uri="{FF2B5EF4-FFF2-40B4-BE49-F238E27FC236}">
              <a16:creationId xmlns:a16="http://schemas.microsoft.com/office/drawing/2014/main" id="{00000000-0008-0000-0E00-000002000000}"/>
            </a:ext>
          </a:extLst>
        </xdr:cNvPr>
        <xdr:cNvSpPr/>
      </xdr:nvSpPr>
      <xdr:spPr>
        <a:xfrm>
          <a:off x="8677275" y="1990725"/>
          <a:ext cx="3714750" cy="838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100"/>
            <a:t>energy commodities going into the</a:t>
          </a:r>
          <a:r>
            <a:rPr lang="en-IE" sz="1100" baseline="0"/>
            <a:t> refinery processes</a:t>
          </a:r>
          <a:endParaRPr lang="en-IE" sz="1100"/>
        </a:p>
      </xdr:txBody>
    </xdr:sp>
    <xdr:clientData/>
  </xdr:twoCellAnchor>
  <xdr:twoCellAnchor>
    <xdr:from>
      <xdr:col>8</xdr:col>
      <xdr:colOff>266700</xdr:colOff>
      <xdr:row>70</xdr:row>
      <xdr:rowOff>53340</xdr:rowOff>
    </xdr:from>
    <xdr:to>
      <xdr:col>13</xdr:col>
      <xdr:colOff>124758</xdr:colOff>
      <xdr:row>75</xdr:row>
      <xdr:rowOff>107085</xdr:rowOff>
    </xdr:to>
    <xdr:sp macro="" textlink="">
      <xdr:nvSpPr>
        <xdr:cNvPr id="4" name="Rechteck 4">
          <a:extLst>
            <a:ext uri="{FF2B5EF4-FFF2-40B4-BE49-F238E27FC236}">
              <a16:creationId xmlns:a16="http://schemas.microsoft.com/office/drawing/2014/main" id="{00000000-0008-0000-0E00-000004000000}"/>
            </a:ext>
          </a:extLst>
        </xdr:cNvPr>
        <xdr:cNvSpPr/>
      </xdr:nvSpPr>
      <xdr:spPr>
        <a:xfrm>
          <a:off x="18249900" y="7292340"/>
          <a:ext cx="4887258" cy="1006245"/>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marL="0" marR="0" lvl="0" indent="0" algn="r" defTabSz="914400" eaLnBrk="1" fontAlgn="auto" latinLnBrk="0" hangingPunct="1">
            <a:lnSpc>
              <a:spcPct val="100000"/>
            </a:lnSpc>
            <a:spcBef>
              <a:spcPts val="0"/>
            </a:spcBef>
            <a:spcAft>
              <a:spcPts val="0"/>
            </a:spcAft>
            <a:buClrTx/>
            <a:buSzTx/>
            <a:buFontTx/>
            <a:buNone/>
            <a:tabLst/>
            <a:defRPr/>
          </a:pPr>
          <a:r>
            <a:rPr lang="en-IE" sz="1100">
              <a:solidFill>
                <a:schemeClr val="lt1"/>
              </a:solidFill>
              <a:effectLst/>
              <a:latin typeface="+mn-lt"/>
              <a:ea typeface="+mn-ea"/>
              <a:cs typeface="+mn-cs"/>
            </a:rPr>
            <a:t>Flexibility technologies utilization</a:t>
          </a:r>
          <a:r>
            <a:rPr lang="en-IE" sz="1100" baseline="0">
              <a:solidFill>
                <a:schemeClr val="lt1"/>
              </a:solidFill>
              <a:effectLst/>
              <a:latin typeface="+mn-lt"/>
              <a:ea typeface="+mn-ea"/>
              <a:cs typeface="+mn-cs"/>
            </a:rPr>
            <a:t>: </a:t>
          </a:r>
          <a:r>
            <a:rPr lang="en-IE" sz="1100">
              <a:solidFill>
                <a:schemeClr val="lt1"/>
              </a:solidFill>
              <a:effectLst/>
              <a:latin typeface="+mn-lt"/>
              <a:ea typeface="+mn-ea"/>
              <a:cs typeface="+mn-cs"/>
            </a:rPr>
            <a:t>If Capacity is 0, process is de-facto disabeled</a:t>
          </a:r>
        </a:p>
        <a:p>
          <a:pPr algn="r"/>
          <a:r>
            <a:rPr lang="de-AT" sz="1100">
              <a:solidFill>
                <a:schemeClr val="bg1"/>
              </a:solidFill>
            </a:rPr>
            <a:t>Capacities</a:t>
          </a:r>
          <a:r>
            <a:rPr lang="de-AT" sz="1100" baseline="0">
              <a:solidFill>
                <a:schemeClr val="bg1"/>
              </a:solidFill>
            </a:rPr>
            <a:t> stock and utlization should be modelled endogeneously!</a:t>
          </a:r>
          <a:endParaRPr lang="de-AT" sz="1100">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ocalRepositories/WILIAM-energy/model_parameters/energy/capacities_all_regions_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_2018\18.058_Locomotion\5_Workpackages\WP07\22_Parametrization\05_PROREF_Refinery_output_shares\WBIG_loc_reg_IEA_f_BalanceSheetTool_PROREF_output_share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_2018\18.058_Locomotion\5_Workpackages\WP07\22_Parametrization\04_PROTRA_Refinery_efficiencies\WBIG_full_locomotion_regions_eff_proces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G:\_2018\18.058_Locomotion\5_Workpackages\WP07\22_Parametrization\07_PROTRA_Overcapacity_factor\Full_Load_hours_empiric.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G:\_2018\18.058_Locomotion\5_Workpackages\WP07\22_Parametrization\09_OPEX\OM_cost_v4.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G:\_2018\18.058_Locomotion\5_Workpackages\WP07\22_Parametrization\07_PROTRA_Overcapacity_factor\Overcapacity%20fac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T"/>
      <sheetName val="ReadMe"/>
      <sheetName val="USMCA"/>
      <sheetName val="China"/>
      <sheetName val="EASOC"/>
      <sheetName val="India"/>
      <sheetName val="LATAM"/>
      <sheetName val="Russia"/>
      <sheetName val="LROW"/>
      <sheetName val="EU27"/>
      <sheetName val="UK"/>
      <sheetName val="AT"/>
      <sheetName val="BE"/>
      <sheetName val="BG"/>
      <sheetName val="HR"/>
      <sheetName val="CY"/>
      <sheetName val="CZ"/>
      <sheetName val="DK"/>
      <sheetName val="EE"/>
      <sheetName val="FI"/>
      <sheetName val="FR"/>
      <sheetName val="DE"/>
      <sheetName val="GR"/>
      <sheetName val="HU"/>
      <sheetName val="IE"/>
      <sheetName val="IT"/>
      <sheetName val="LV"/>
      <sheetName val="LT"/>
      <sheetName val="LU"/>
      <sheetName val="MT"/>
      <sheetName val="NL"/>
      <sheetName val="PL"/>
      <sheetName val="PT"/>
      <sheetName val="RO"/>
      <sheetName val="SK"/>
      <sheetName val="SI"/>
      <sheetName val="ES"/>
      <sheetName val="SE"/>
      <sheetName val="EU28"/>
      <sheetName val="wind_data_IRENA"/>
      <sheetName val="solar_data_IRENA"/>
      <sheetName val="rooftop_PV"/>
      <sheetName val="World_EIA"/>
      <sheetName val="CHP_EU"/>
      <sheetName val="CHP_USMCA"/>
      <sheetName val="Geothermal_CHP"/>
      <sheetName val="Mappings"/>
    </sheetNames>
    <sheetDataSet>
      <sheetData sheetId="0"/>
      <sheetData sheetId="1"/>
      <sheetData sheetId="2">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3">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4">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5">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6">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7">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8">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9">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B502">
            <v>3793.1240155356795</v>
          </cell>
          <cell r="C502">
            <v>1.0986572719598461E-2</v>
          </cell>
        </row>
        <row r="503">
          <cell r="B503">
            <v>3793.1240155356795</v>
          </cell>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B508">
            <v>2608.198801995416</v>
          </cell>
          <cell r="C508">
            <v>0.83770491803278679</v>
          </cell>
        </row>
        <row r="509">
          <cell r="B509">
            <v>1080.6087129473817</v>
          </cell>
          <cell r="C509">
            <v>0.52027951642487902</v>
          </cell>
        </row>
        <row r="510">
          <cell r="B510">
            <v>1080.6087129473817</v>
          </cell>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B515">
            <v>2132.037202362374</v>
          </cell>
          <cell r="C515">
            <v>9.3786973448175603E-2</v>
          </cell>
        </row>
        <row r="516">
          <cell r="B516">
            <v>2132.037202362374</v>
          </cell>
          <cell r="C516">
            <v>0.26371592565113777</v>
          </cell>
        </row>
      </sheetData>
      <sheetData sheetId="10">
        <row r="480">
          <cell r="B480">
            <v>3930.8765854686085</v>
          </cell>
          <cell r="C480">
            <v>0.15642965636074996</v>
          </cell>
        </row>
        <row r="481">
          <cell r="B481">
            <v>3930.8765854686085</v>
          </cell>
          <cell r="C481">
            <v>0.15642965636074996</v>
          </cell>
        </row>
        <row r="482">
          <cell r="C482">
            <v>0.20185603127565033</v>
          </cell>
        </row>
        <row r="483">
          <cell r="B483">
            <v>5446.298499669897</v>
          </cell>
          <cell r="C483">
            <v>0</v>
          </cell>
        </row>
        <row r="484">
          <cell r="B484">
            <v>5446.298499669897</v>
          </cell>
          <cell r="C484">
            <v>0</v>
          </cell>
        </row>
        <row r="485">
          <cell r="B485">
            <v>7783.2227160202547</v>
          </cell>
          <cell r="C485">
            <v>0</v>
          </cell>
        </row>
        <row r="486">
          <cell r="B486">
            <v>7783.2227160202547</v>
          </cell>
          <cell r="C486">
            <v>0</v>
          </cell>
        </row>
        <row r="487">
          <cell r="B487">
            <v>7530.8392504739923</v>
          </cell>
          <cell r="C487">
            <v>0.33788137578926603</v>
          </cell>
        </row>
        <row r="488">
          <cell r="B488">
            <v>7783.2227160202547</v>
          </cell>
          <cell r="C488">
            <v>0</v>
          </cell>
        </row>
        <row r="489">
          <cell r="B489">
            <v>7783.2227160202547</v>
          </cell>
          <cell r="C489">
            <v>0</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6108.6060696654522</v>
          </cell>
          <cell r="C497">
            <v>0</v>
          </cell>
        </row>
        <row r="498">
          <cell r="B498">
            <v>6108.6060696654522</v>
          </cell>
          <cell r="C498">
            <v>0</v>
          </cell>
        </row>
        <row r="499">
          <cell r="B499">
            <v>6993.9156745712644</v>
          </cell>
          <cell r="C499">
            <v>7.9424528768128305E-2</v>
          </cell>
        </row>
        <row r="500">
          <cell r="B500">
            <v>6993.9156745712644</v>
          </cell>
          <cell r="C500">
            <v>7.9424528768128305E-2</v>
          </cell>
        </row>
        <row r="501">
          <cell r="C501">
            <v>0.20185603127565033</v>
          </cell>
        </row>
        <row r="502">
          <cell r="C502">
            <v>1.2791976872105818E-3</v>
          </cell>
        </row>
        <row r="503">
          <cell r="C503">
            <v>6.1076593804153471E-2</v>
          </cell>
        </row>
        <row r="504">
          <cell r="B504">
            <v>1070.4818501915263</v>
          </cell>
          <cell r="C504">
            <v>8.7806642101948204E-3</v>
          </cell>
        </row>
        <row r="505">
          <cell r="B505">
            <v>1070.4818501915263</v>
          </cell>
          <cell r="C505">
            <v>8.7806642101948204E-3</v>
          </cell>
        </row>
        <row r="506">
          <cell r="B506">
            <v>6990.1275082270777</v>
          </cell>
          <cell r="C506">
            <v>0</v>
          </cell>
        </row>
        <row r="507">
          <cell r="B507">
            <v>547.1860758634399</v>
          </cell>
          <cell r="C507">
            <v>0.728301886792453</v>
          </cell>
        </row>
        <row r="509">
          <cell r="C509">
            <v>0.7688947368421053</v>
          </cell>
        </row>
        <row r="510">
          <cell r="C510">
            <v>0.76889473684210519</v>
          </cell>
        </row>
        <row r="511">
          <cell r="B511">
            <v>6108.6060696654522</v>
          </cell>
          <cell r="C511">
            <v>0</v>
          </cell>
        </row>
        <row r="512">
          <cell r="B512">
            <v>6108.6060696654522</v>
          </cell>
          <cell r="C512">
            <v>0</v>
          </cell>
        </row>
        <row r="513">
          <cell r="B513">
            <v>7884.0000000000009</v>
          </cell>
          <cell r="C513">
            <v>0.25637307077011567</v>
          </cell>
        </row>
        <row r="514">
          <cell r="B514">
            <v>7884.0000000000009</v>
          </cell>
          <cell r="C514">
            <v>0.25637307077011567</v>
          </cell>
        </row>
        <row r="515">
          <cell r="C515">
            <v>8.7414424232263019E-2</v>
          </cell>
        </row>
        <row r="516">
          <cell r="C516">
            <v>0.28224107635611984</v>
          </cell>
        </row>
        <row r="517">
          <cell r="C517">
            <v>1</v>
          </cell>
        </row>
        <row r="518">
          <cell r="C518">
            <v>1</v>
          </cell>
        </row>
        <row r="519">
          <cell r="C519">
            <v>1</v>
          </cell>
        </row>
        <row r="520">
          <cell r="C520">
            <v>1</v>
          </cell>
        </row>
        <row r="521">
          <cell r="C521">
            <v>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BIG_loc_reg_IEA_f"/>
      <sheetName val="Mapping"/>
      <sheetName val="EXPORT_PROREF_ouput_share"/>
    </sheetNames>
    <sheetDataSet>
      <sheetData sheetId="0"/>
      <sheetData sheetId="1"/>
      <sheetData sheetId="2">
        <row r="27">
          <cell r="AE27">
            <v>7.2408952630044848E-2</v>
          </cell>
          <cell r="AF27">
            <v>3.6076706733806509E-2</v>
          </cell>
          <cell r="AG27">
            <v>0.42315211367738276</v>
          </cell>
          <cell r="AH27">
            <v>0.10615402884772447</v>
          </cell>
          <cell r="AI27">
            <v>0.17074341723318237</v>
          </cell>
          <cell r="AJ27">
            <v>5.3489586662823475E-2</v>
          </cell>
          <cell r="AK27">
            <v>4.0942453631549962E-2</v>
          </cell>
          <cell r="AL27">
            <v>1.2380015722058463E-2</v>
          </cell>
          <cell r="AM27">
            <v>1.9484126562354924E-2</v>
          </cell>
        </row>
        <row r="28">
          <cell r="AE28">
            <v>0.21558637696080568</v>
          </cell>
          <cell r="AF28">
            <v>0.15444630164555626</v>
          </cell>
          <cell r="AG28">
            <v>0.23369068534751539</v>
          </cell>
          <cell r="AH28">
            <v>0.22013654066229249</v>
          </cell>
          <cell r="AI28">
            <v>0.46066379578124439</v>
          </cell>
          <cell r="AJ28">
            <v>0.24311495125224475</v>
          </cell>
          <cell r="AK28">
            <v>0.16286867230292512</v>
          </cell>
          <cell r="AL28">
            <v>0.16123617710227287</v>
          </cell>
          <cell r="AM28">
            <v>0.14119303153100674</v>
          </cell>
        </row>
        <row r="29">
          <cell r="AE29">
            <v>0.71200467040914939</v>
          </cell>
          <cell r="AF29">
            <v>0.80947699162063724</v>
          </cell>
          <cell r="AG29">
            <v>0.34315720097510183</v>
          </cell>
          <cell r="AH29">
            <v>0.67370943048998311</v>
          </cell>
          <cell r="AI29">
            <v>0.36859278698557324</v>
          </cell>
          <cell r="AJ29">
            <v>0.70339546208493176</v>
          </cell>
          <cell r="AK29">
            <v>0.79618887406552497</v>
          </cell>
          <cell r="AL29">
            <v>0.82638380717566862</v>
          </cell>
          <cell r="AM29">
            <v>0.83932284190663831</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INERY by commodity"/>
      <sheetName val="Data"/>
      <sheetName val="EXPORT_PROCESS_TRANSFORMATION"/>
    </sheetNames>
    <sheetDataSet>
      <sheetData sheetId="0"/>
      <sheetData sheetId="1"/>
      <sheetData sheetId="2">
        <row r="43">
          <cell r="AD43">
            <v>0.75063004297886982</v>
          </cell>
          <cell r="AE43">
            <v>0.70820979856176869</v>
          </cell>
          <cell r="AF43">
            <v>0.73033328551032417</v>
          </cell>
          <cell r="AG43">
            <v>0.71444417472627697</v>
          </cell>
          <cell r="AH43">
            <v>0.69142767560638163</v>
          </cell>
          <cell r="AI43">
            <v>0.76098099453164048</v>
          </cell>
          <cell r="AJ43">
            <v>0.6827471908300432</v>
          </cell>
          <cell r="AK43">
            <v>0.66116523421530604</v>
          </cell>
          <cell r="AL43">
            <v>0.67485310304600332</v>
          </cell>
        </row>
        <row r="44">
          <cell r="AD44">
            <v>0.99403040827498446</v>
          </cell>
          <cell r="AE44">
            <v>0.98209537849909712</v>
          </cell>
          <cell r="AF44">
            <v>0.96302990688813761</v>
          </cell>
          <cell r="AG44">
            <v>0.99322683658025746</v>
          </cell>
          <cell r="AH44">
            <v>0.98308726653898948</v>
          </cell>
          <cell r="AI44">
            <v>0.97466421017974192</v>
          </cell>
          <cell r="AJ44">
            <v>0.99403040827498446</v>
          </cell>
          <cell r="AK44">
            <v>0.97369557597322964</v>
          </cell>
          <cell r="AL44">
            <v>0.9686682533066383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mpiric-cap TW"/>
      <sheetName val="empiric-production EJ"/>
      <sheetName val="Empiric-production TWh"/>
      <sheetName val="Empiric Full-load-hours"/>
    </sheetNames>
    <sheetDataSet>
      <sheetData sheetId="0" refreshError="1"/>
      <sheetData sheetId="1" refreshError="1"/>
      <sheetData sheetId="2" refreshError="1"/>
      <sheetData sheetId="3">
        <row r="151">
          <cell r="E151">
            <v>1753.9891331680667</v>
          </cell>
        </row>
        <row r="152">
          <cell r="E152">
            <v>3179.0868354938884</v>
          </cell>
        </row>
        <row r="153">
          <cell r="E153">
            <v>1144.1698750567682</v>
          </cell>
        </row>
        <row r="154">
          <cell r="E154">
            <v>978.21772543476197</v>
          </cell>
        </row>
        <row r="155">
          <cell r="E155">
            <v>978.21970106984031</v>
          </cell>
        </row>
        <row r="156">
          <cell r="E156">
            <v>2846.161852245938</v>
          </cell>
        </row>
        <row r="157">
          <cell r="E157">
            <v>1755.6126944215134</v>
          </cell>
        </row>
        <row r="165">
          <cell r="E165">
            <v>3493.3051305597246</v>
          </cell>
        </row>
        <row r="166">
          <cell r="E166">
            <v>3493.3060979984466</v>
          </cell>
        </row>
        <row r="167">
          <cell r="E167">
            <v>1144.1698750567682</v>
          </cell>
        </row>
        <row r="168">
          <cell r="E168">
            <v>1051.3066239469053</v>
          </cell>
        </row>
        <row r="169">
          <cell r="E169">
            <v>1051.3079226291982</v>
          </cell>
        </row>
        <row r="170">
          <cell r="E170">
            <v>1789.9565641343852</v>
          </cell>
        </row>
        <row r="171">
          <cell r="E171">
            <v>1980.4133084796931</v>
          </cell>
        </row>
        <row r="172">
          <cell r="E172">
            <v>2037.4972181143912</v>
          </cell>
        </row>
        <row r="173">
          <cell r="E173">
            <v>2037.497218114391</v>
          </cell>
        </row>
        <row r="174">
          <cell r="E174">
            <v>1144.1698750567682</v>
          </cell>
        </row>
        <row r="175">
          <cell r="E175">
            <v>1130.4620382233334</v>
          </cell>
        </row>
        <row r="176">
          <cell r="E176">
            <v>1130.4646308309825</v>
          </cell>
        </row>
        <row r="177">
          <cell r="E177">
            <v>3359.2067542755108</v>
          </cell>
        </row>
        <row r="178">
          <cell r="E178">
            <v>2233.4838549945271</v>
          </cell>
        </row>
        <row r="179">
          <cell r="E179">
            <v>3185.921724539468</v>
          </cell>
        </row>
        <row r="180">
          <cell r="E180">
            <v>3185.9217245394684</v>
          </cell>
        </row>
        <row r="181">
          <cell r="E181">
            <v>1144.1698750567682</v>
          </cell>
        </row>
        <row r="182">
          <cell r="E182">
            <v>1526.7046812171664</v>
          </cell>
        </row>
        <row r="183">
          <cell r="E183">
            <v>1526.7075694259925</v>
          </cell>
        </row>
        <row r="184">
          <cell r="E184">
            <v>3359.2067542755108</v>
          </cell>
        </row>
        <row r="185">
          <cell r="E185">
            <v>1810.8081987399696</v>
          </cell>
        </row>
        <row r="186">
          <cell r="E186">
            <v>3914.969063447983</v>
          </cell>
        </row>
        <row r="187">
          <cell r="E187">
            <v>3914.979499191189</v>
          </cell>
        </row>
        <row r="188">
          <cell r="E188">
            <v>1144.1698750567682</v>
          </cell>
        </row>
        <row r="189">
          <cell r="E189">
            <v>1144.1698750567682</v>
          </cell>
        </row>
        <row r="190">
          <cell r="E190">
            <v>1144.1729170184008</v>
          </cell>
        </row>
        <row r="191">
          <cell r="E191">
            <v>3359.2067542755108</v>
          </cell>
        </row>
        <row r="192">
          <cell r="E192">
            <v>2815.9904001397595</v>
          </cell>
        </row>
        <row r="193">
          <cell r="E193">
            <v>3267.0722898260824</v>
          </cell>
        </row>
        <row r="194">
          <cell r="E194">
            <v>3267.0671449356787</v>
          </cell>
        </row>
        <row r="195">
          <cell r="E195">
            <v>1144.1698750567682</v>
          </cell>
        </row>
        <row r="196">
          <cell r="E196">
            <v>1144.1698750567682</v>
          </cell>
        </row>
        <row r="197">
          <cell r="E197">
            <v>1144.1729170184008</v>
          </cell>
        </row>
        <row r="198">
          <cell r="E198">
            <v>3359.2067542755108</v>
          </cell>
        </row>
        <row r="199">
          <cell r="E199">
            <v>2233.4838549945271</v>
          </cell>
        </row>
        <row r="200">
          <cell r="E200">
            <v>3424.9480243522562</v>
          </cell>
        </row>
        <row r="201">
          <cell r="E201">
            <v>3424.9551884663497</v>
          </cell>
        </row>
        <row r="202">
          <cell r="E202">
            <v>1144.1698750567682</v>
          </cell>
        </row>
        <row r="203">
          <cell r="E203">
            <v>1569.5657698723614</v>
          </cell>
        </row>
        <row r="204">
          <cell r="E204">
            <v>1569.564307318308</v>
          </cell>
        </row>
        <row r="205">
          <cell r="E205">
            <v>3518.5823754789271</v>
          </cell>
        </row>
        <row r="206">
          <cell r="E206">
            <v>2871.0891030216512</v>
          </cell>
        </row>
        <row r="207">
          <cell r="E207">
            <v>3373.316906204212</v>
          </cell>
        </row>
        <row r="208">
          <cell r="E208">
            <v>3373.3163309422198</v>
          </cell>
        </row>
        <row r="209">
          <cell r="E209">
            <v>1144.1698750567682</v>
          </cell>
        </row>
        <row r="210">
          <cell r="E210">
            <v>1224.5651266330399</v>
          </cell>
        </row>
        <row r="211">
          <cell r="E211">
            <v>1224.5600227131422</v>
          </cell>
        </row>
        <row r="212">
          <cell r="E212">
            <v>3810.7571108593879</v>
          </cell>
        </row>
        <row r="213">
          <cell r="E213">
            <v>2323.6562622224346</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
      <sheetName val="O&amp;M_Cost"/>
      <sheetName val="O&amp;M_Cost(USD15)"/>
      <sheetName val="O&amp;M_cost_vensim"/>
      <sheetName val="Electrolyzers"/>
      <sheetName val="Deflator"/>
      <sheetName val="Exchange_rates"/>
    </sheetNames>
    <sheetDataSet>
      <sheetData sheetId="0"/>
      <sheetData sheetId="1"/>
      <sheetData sheetId="2"/>
      <sheetData sheetId="3">
        <row r="3">
          <cell r="B3">
            <v>4.5</v>
          </cell>
          <cell r="C3">
            <v>4.4000000000000004</v>
          </cell>
          <cell r="D3">
            <v>4.2</v>
          </cell>
          <cell r="E3">
            <v>4.0999999999999996</v>
          </cell>
          <cell r="F3">
            <v>4</v>
          </cell>
        </row>
        <row r="4">
          <cell r="B4">
            <v>0</v>
          </cell>
          <cell r="C4">
            <v>0</v>
          </cell>
          <cell r="D4">
            <v>0</v>
          </cell>
          <cell r="E4">
            <v>0</v>
          </cell>
          <cell r="F4">
            <v>0</v>
          </cell>
        </row>
        <row r="5">
          <cell r="B5">
            <v>0.6</v>
          </cell>
          <cell r="C5">
            <v>0.6</v>
          </cell>
          <cell r="D5">
            <v>0.6</v>
          </cell>
          <cell r="E5">
            <v>0.6</v>
          </cell>
          <cell r="F5">
            <v>0.6</v>
          </cell>
        </row>
        <row r="6">
          <cell r="B6">
            <v>2.95</v>
          </cell>
          <cell r="C6">
            <v>2.9</v>
          </cell>
          <cell r="D6">
            <v>2.84</v>
          </cell>
          <cell r="E6">
            <v>2.7800000000000002</v>
          </cell>
          <cell r="F6">
            <v>2.72</v>
          </cell>
        </row>
        <row r="7">
          <cell r="B7">
            <v>26.134999999999998</v>
          </cell>
          <cell r="C7">
            <v>26.134999999999998</v>
          </cell>
          <cell r="D7">
            <v>25.475000000000001</v>
          </cell>
          <cell r="E7">
            <v>25.022500000000001</v>
          </cell>
          <cell r="F7">
            <v>24.57</v>
          </cell>
        </row>
        <row r="8">
          <cell r="B8">
            <v>2.78</v>
          </cell>
          <cell r="C8">
            <v>2.7816666666666663</v>
          </cell>
          <cell r="D8">
            <v>2.77</v>
          </cell>
          <cell r="E8">
            <v>2.7841666666666667</v>
          </cell>
          <cell r="F8">
            <v>2.7983333333333338</v>
          </cell>
        </row>
        <row r="9">
          <cell r="B9">
            <v>0.5</v>
          </cell>
          <cell r="C9">
            <v>0.5</v>
          </cell>
          <cell r="D9">
            <v>0.5</v>
          </cell>
          <cell r="E9">
            <v>0.5</v>
          </cell>
          <cell r="F9">
            <v>0.5</v>
          </cell>
        </row>
        <row r="10">
          <cell r="B10">
            <v>2.2050000000000001</v>
          </cell>
          <cell r="C10">
            <v>2.33</v>
          </cell>
          <cell r="D10">
            <v>3.0150000000000001</v>
          </cell>
          <cell r="E10">
            <v>3.1850000000000001</v>
          </cell>
          <cell r="F10">
            <v>3.355</v>
          </cell>
        </row>
        <row r="11">
          <cell r="B11">
            <v>4.1520000000000001</v>
          </cell>
          <cell r="C11">
            <v>4.1520000000000001</v>
          </cell>
          <cell r="D11">
            <v>4.1159999999999997</v>
          </cell>
          <cell r="E11">
            <v>4.274</v>
          </cell>
          <cell r="F11">
            <v>4.29</v>
          </cell>
        </row>
        <row r="12">
          <cell r="B12">
            <v>0.5</v>
          </cell>
          <cell r="C12">
            <v>0.5</v>
          </cell>
          <cell r="D12">
            <v>0.5</v>
          </cell>
          <cell r="E12">
            <v>0.5</v>
          </cell>
          <cell r="F12">
            <v>0.5</v>
          </cell>
        </row>
        <row r="13">
          <cell r="B13">
            <v>0</v>
          </cell>
          <cell r="C13">
            <v>0</v>
          </cell>
          <cell r="D13">
            <v>0</v>
          </cell>
          <cell r="E13">
            <v>0</v>
          </cell>
          <cell r="F13">
            <v>0</v>
          </cell>
        </row>
        <row r="14">
          <cell r="B14">
            <v>1.9845000000000002</v>
          </cell>
          <cell r="C14">
            <v>2.097</v>
          </cell>
          <cell r="D14">
            <v>2.7135000000000002</v>
          </cell>
          <cell r="E14">
            <v>2.8665000000000003</v>
          </cell>
          <cell r="F14">
            <v>3.0194999999999999</v>
          </cell>
        </row>
        <row r="15">
          <cell r="B15">
            <v>7.22</v>
          </cell>
          <cell r="C15">
            <v>7.38</v>
          </cell>
          <cell r="D15">
            <v>8.16</v>
          </cell>
          <cell r="E15">
            <v>8.3150000000000013</v>
          </cell>
          <cell r="F15">
            <v>8.4700000000000006</v>
          </cell>
        </row>
        <row r="16">
          <cell r="B16">
            <v>2.78</v>
          </cell>
          <cell r="C16">
            <v>2.7816666666666663</v>
          </cell>
          <cell r="D16">
            <v>2.77</v>
          </cell>
          <cell r="E16">
            <v>2.7841666666666667</v>
          </cell>
          <cell r="F16">
            <v>2.7983333333333338</v>
          </cell>
        </row>
        <row r="17">
          <cell r="B17">
            <v>4.4000000000000004</v>
          </cell>
          <cell r="C17">
            <v>4.4000000000000004</v>
          </cell>
          <cell r="D17">
            <v>4.2</v>
          </cell>
          <cell r="E17">
            <v>4.0999999999999996</v>
          </cell>
          <cell r="F17">
            <v>4</v>
          </cell>
        </row>
        <row r="18">
          <cell r="B18">
            <v>29</v>
          </cell>
          <cell r="C18">
            <v>29</v>
          </cell>
          <cell r="D18">
            <v>29</v>
          </cell>
          <cell r="E18">
            <v>29</v>
          </cell>
          <cell r="F18">
            <v>29</v>
          </cell>
        </row>
        <row r="19">
          <cell r="B19">
            <v>3.3508975192769401E-2</v>
          </cell>
          <cell r="C19">
            <v>4.3184210328888563E-2</v>
          </cell>
          <cell r="D19">
            <v>4.3184210328888563E-2</v>
          </cell>
          <cell r="E19">
            <v>4.3184210328888563E-2</v>
          </cell>
          <cell r="F19">
            <v>4.3184210328888563E-2</v>
          </cell>
        </row>
        <row r="20">
          <cell r="B20">
            <v>4.1696932076287961E-2</v>
          </cell>
          <cell r="C20">
            <v>5.6880969051194427E-2</v>
          </cell>
          <cell r="D20">
            <v>5.6880969051194427E-2</v>
          </cell>
          <cell r="E20">
            <v>5.6880969051194427E-2</v>
          </cell>
          <cell r="F20">
            <v>5.6880969051194427E-2</v>
          </cell>
        </row>
        <row r="21">
          <cell r="B21">
            <v>6</v>
          </cell>
          <cell r="C21">
            <v>6</v>
          </cell>
          <cell r="D21">
            <v>6</v>
          </cell>
          <cell r="E21">
            <v>6</v>
          </cell>
          <cell r="F21">
            <v>6</v>
          </cell>
        </row>
        <row r="22">
          <cell r="B22">
            <v>3.875</v>
          </cell>
          <cell r="C22">
            <v>3.875</v>
          </cell>
          <cell r="D22">
            <v>3.875</v>
          </cell>
          <cell r="E22">
            <v>3.875</v>
          </cell>
          <cell r="F22">
            <v>3.875</v>
          </cell>
        </row>
        <row r="23">
          <cell r="B23">
            <v>20</v>
          </cell>
          <cell r="C23">
            <v>15</v>
          </cell>
          <cell r="D23">
            <v>10</v>
          </cell>
          <cell r="E23">
            <v>8.5</v>
          </cell>
          <cell r="F23">
            <v>7</v>
          </cell>
        </row>
        <row r="24">
          <cell r="B24">
            <v>2.9774436103999999</v>
          </cell>
          <cell r="C24">
            <v>1.5950590770000002</v>
          </cell>
          <cell r="D24">
            <v>1.4355531693000003</v>
          </cell>
          <cell r="E24">
            <v>1.31858217032</v>
          </cell>
          <cell r="F24">
            <v>1.29731471596</v>
          </cell>
        </row>
        <row r="25">
          <cell r="B25">
            <v>9.5447278459725133</v>
          </cell>
          <cell r="C25">
            <v>8.5052030310646156</v>
          </cell>
          <cell r="D25">
            <v>7.1821714484545645</v>
          </cell>
          <cell r="E25">
            <v>6.1426466335466667</v>
          </cell>
          <cell r="F25">
            <v>5.575633098142359</v>
          </cell>
        </row>
        <row r="26">
          <cell r="B26">
            <v>15.025858688214155</v>
          </cell>
          <cell r="C26">
            <v>12.096288755291898</v>
          </cell>
          <cell r="D26">
            <v>9.6392301018732311</v>
          </cell>
          <cell r="E26">
            <v>8.5997052869653352</v>
          </cell>
          <cell r="F26">
            <v>8.0326917515610265</v>
          </cell>
        </row>
        <row r="27">
          <cell r="B27">
            <v>3.375</v>
          </cell>
          <cell r="C27">
            <v>3.375</v>
          </cell>
          <cell r="D27">
            <v>3.375</v>
          </cell>
          <cell r="E27">
            <v>3.375</v>
          </cell>
          <cell r="F27">
            <v>3.375</v>
          </cell>
        </row>
        <row r="28">
          <cell r="B28">
            <v>23.5215</v>
          </cell>
          <cell r="C28">
            <v>23.5215</v>
          </cell>
          <cell r="D28">
            <v>22.927500000000002</v>
          </cell>
          <cell r="E28">
            <v>22.520250000000001</v>
          </cell>
          <cell r="F28">
            <v>22.113</v>
          </cell>
        </row>
        <row r="29">
          <cell r="B29">
            <v>5</v>
          </cell>
          <cell r="C29">
            <v>4.17</v>
          </cell>
          <cell r="D29">
            <v>3.89</v>
          </cell>
          <cell r="E29">
            <v>3.42</v>
          </cell>
          <cell r="F29">
            <v>3.25</v>
          </cell>
        </row>
        <row r="30">
          <cell r="B30">
            <v>2.9774436103999999</v>
          </cell>
          <cell r="C30">
            <v>1.5950590770000002</v>
          </cell>
          <cell r="D30">
            <v>1.4355531693000003</v>
          </cell>
          <cell r="E30">
            <v>1.31858217032</v>
          </cell>
          <cell r="F30">
            <v>1.29731471596</v>
          </cell>
        </row>
      </sheetData>
      <sheetData sheetId="4"/>
      <sheetData sheetId="5"/>
      <sheetData sheetId="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x_TO_from_stock"/>
      <sheetName val="IEA_TO_by_commodity"/>
      <sheetName val="Vensim_export"/>
    </sheetNames>
    <sheetDataSet>
      <sheetData sheetId="0" refreshError="1"/>
      <sheetData sheetId="1" refreshError="1"/>
      <sheetData sheetId="2">
        <row r="2">
          <cell r="AA2">
            <v>1.2510460264516978</v>
          </cell>
        </row>
        <row r="3">
          <cell r="AA3">
            <v>1.2299130255860267</v>
          </cell>
        </row>
        <row r="4">
          <cell r="AA4">
            <v>1.0878691457565646</v>
          </cell>
        </row>
        <row r="5">
          <cell r="AA5">
            <v>1.05</v>
          </cell>
        </row>
        <row r="6">
          <cell r="AA6">
            <v>1.1073101745446521</v>
          </cell>
        </row>
        <row r="7">
          <cell r="AA7">
            <v>1.0634835486246796</v>
          </cell>
        </row>
        <row r="8">
          <cell r="AA8">
            <v>1.0782338028003779</v>
          </cell>
        </row>
        <row r="9">
          <cell r="AA9">
            <v>1.0473766958778392</v>
          </cell>
        </row>
        <row r="10">
          <cell r="AA10">
            <v>1.4395167140398055</v>
          </cell>
        </row>
        <row r="11">
          <cell r="AA11">
            <v>2.0653249860780818</v>
          </cell>
        </row>
        <row r="12">
          <cell r="AA12">
            <v>2.0699999999999998</v>
          </cell>
        </row>
        <row r="14">
          <cell r="AA14">
            <v>1.25</v>
          </cell>
        </row>
        <row r="15">
          <cell r="AA15">
            <v>1.25</v>
          </cell>
        </row>
        <row r="16">
          <cell r="AA16">
            <v>1.25</v>
          </cell>
        </row>
        <row r="17">
          <cell r="AA17">
            <v>2.583228730835827</v>
          </cell>
        </row>
        <row r="18">
          <cell r="AA18">
            <v>1.25</v>
          </cell>
        </row>
        <row r="19">
          <cell r="AA19">
            <v>1.25</v>
          </cell>
        </row>
      </sheetData>
    </sheetDataSet>
  </externalBook>
</externalLink>
</file>

<file path=xl/persons/person.xml><?xml version="1.0" encoding="utf-8"?>
<personList xmlns="http://schemas.microsoft.com/office/spreadsheetml/2018/threadedcomments" xmlns:x="http://schemas.openxmlformats.org/spreadsheetml/2006/main">
  <person displayName="GONZALO PARRADO HERNANDO" id="{A64BC8CF-6C9C-4EE3-84D6-920982266A4C}" userId="S::gonzalo.parrado@uva.es::edec257f-8391-452f-9851-9a4e5797fdf1"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22" dT="2023-10-13T14:22:12.16" personId="{A64BC8CF-6C9C-4EE3-84D6-920982266A4C}" id="{EE40E36F-1035-4B5F-9BAD-780126ABF030}">
    <text>Data: LCOE calculator of the Danish Energy Agency: 
https://ens.dk/en/our-responsibilities/global-cooperation/levelized-cost-energy-calculator
https://ens.dk/en/our-services/projections-and-models/technology-data/technology-data-generation-electricity-and
https://ens.dk/en/our-services/projections-and-models/technology-data/technology-data-renewable-fuels</text>
    <extLst>
      <x:ext xmlns:xltc2="http://schemas.microsoft.com/office/spreadsheetml/2020/threadedcomments2" uri="{F7C98A9C-CBB3-438F-8F68-D28B6AF4A901}">
        <xltc2:checksum>3920554507</xltc2:checksum>
        <xltc2:hyperlink startIndex="53" length="90" url="https://ens.dk/en/our-responsibilities/global-cooperation/levelized-cost-energy-calculator"/>
        <xltc2:hyperlink startIndex="145" length="112" url="https://ens.dk/en/our-services/projections-and-models/technology-data/technology-data-generation-electricity-and"/>
        <xltc2:hyperlink startIndex="259" length="101" url="https://ens.dk/en/our-services/projections-and-models/technology-data/technology-data-renewable-fuels"/>
      </x:ext>
    </extLst>
  </threadedComment>
  <threadedComment ref="DC144" dT="2023-10-13T15:19:25.10" personId="{A64BC8CF-6C9C-4EE3-84D6-920982266A4C}" id="{EE291CE1-906C-4A96-9722-C012D035B86D}">
    <text>https://www.researchgate.net/publication/274636975_San_Giorgio_Group_Report_The_Role_of_Public_Finance_in_Deploying_Geothermal_-_Background_Paper</text>
    <extLst>
      <x:ext xmlns:xltc2="http://schemas.microsoft.com/office/spreadsheetml/2020/threadedcomments2" uri="{F7C98A9C-CBB3-438F-8F68-D28B6AF4A901}">
        <xltc2:checksum>2293721252</xltc2:checksum>
        <xltc2:hyperlink startIndex="0" length="145" url="https://www.researchgate.net/publication/274636975_San_Giorgio_Group_Report_The_Role_of_Public_Finance_in_Deploying_Geothermal_-_Background_Paper"/>
      </x:ext>
    </extLst>
  </threadedComment>
  <threadedComment ref="DC145" dT="2023-10-13T15:14:32.20" personId="{A64BC8CF-6C9C-4EE3-84D6-920982266A4C}" id="{AA35FA56-555B-477E-B061-DA10D7B205FE}">
    <text>https://www.irena.org/-/media/Files/IRENA/Agency/Publication/2015/IRENA-ETSAP_Tech_Brief_E06_Hydropower.pdf</text>
    <extLst>
      <x:ext xmlns:xltc2="http://schemas.microsoft.com/office/spreadsheetml/2020/threadedcomments2" uri="{F7C98A9C-CBB3-438F-8F68-D28B6AF4A901}">
        <xltc2:checksum>3817763264</xltc2:checksum>
        <xltc2:hyperlink startIndex="0" length="107" url="https://www.irena.org/-/media/Files/IRENA/Agency/Publication/2015/IRENA-ETSAP_Tech_Brief_E06_Hydropower.pdf"/>
      </x:ext>
    </extLst>
  </threadedComment>
  <threadedComment ref="DC146" dT="2023-10-13T15:28:25.55" personId="{A64BC8CF-6C9C-4EE3-84D6-920982266A4C}" id="{04C99ED2-3457-49DE-994A-3B04104ABBAE}">
    <text>https://link.springer.com/chapter/10.1007/978-3-030-86884-0_6</text>
    <extLst>
      <x:ext xmlns:xltc2="http://schemas.microsoft.com/office/spreadsheetml/2020/threadedcomments2" uri="{F7C98A9C-CBB3-438F-8F68-D28B6AF4A901}">
        <xltc2:checksum>1102439836</xltc2:checksum>
        <xltc2:hyperlink startIndex="0" length="61" url="https://link.springer.com/chapter/10.1007/978-3-030-86884-0_6"/>
      </x:ext>
    </extLst>
  </threadedComment>
  <threadedComment ref="DC150" dT="2023-10-13T15:28:25.55" personId="{A64BC8CF-6C9C-4EE3-84D6-920982266A4C}" id="{BE8BAC75-EB26-4FF8-B98F-6E45B5A73CBF}">
    <text>https://link.springer.com/chapter/10.1007/978-3-030-86884-0_6</text>
    <extLst>
      <x:ext xmlns:xltc2="http://schemas.microsoft.com/office/spreadsheetml/2020/threadedcomments2" uri="{F7C98A9C-CBB3-438F-8F68-D28B6AF4A901}">
        <xltc2:checksum>1102439836</xltc2:checksum>
        <xltc2:hyperlink startIndex="0" length="61" url="https://link.springer.com/chapter/10.1007/978-3-030-86884-0_6"/>
      </x:ext>
    </extLst>
  </threadedComment>
  <threadedComment ref="DC151" dT="2023-10-13T15:41:22.89" personId="{A64BC8CF-6C9C-4EE3-84D6-920982266A4C}" id="{312BB407-98A7-435F-9225-86F80E586B2D}">
    <text>https://www.irena.org/-/media/Files/IRENA/Agency/Publication/2013/IRENA-ETSAP-Tech-Brief-E10-Concentrating-Solar-Power.pdf</text>
    <extLst>
      <x:ext xmlns:xltc2="http://schemas.microsoft.com/office/spreadsheetml/2020/threadedcomments2" uri="{F7C98A9C-CBB3-438F-8F68-D28B6AF4A901}">
        <xltc2:checksum>774942120</xltc2:checksum>
        <xltc2:hyperlink startIndex="0" length="122" url="https://www.irena.org/-/media/Files/IRENA/Agency/Publication/2013/IRENA-ETSAP-Tech-Brief-E10-Concentrating-Solar-Power.pdf"/>
      </x:ext>
    </extLs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microsoft.com/office/2017/10/relationships/threadedComment" Target="../threadedComments/threadedComment1.xml"/><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1"/>
  </sheetPr>
  <dimension ref="C3:T34"/>
  <sheetViews>
    <sheetView topLeftCell="B1" zoomScale="70" zoomScaleNormal="70" workbookViewId="0">
      <selection activeCell="C39" sqref="C39"/>
    </sheetView>
  </sheetViews>
  <sheetFormatPr baseColWidth="10" defaultColWidth="11.54296875" defaultRowHeight="14.5" x14ac:dyDescent="0.35"/>
  <cols>
    <col min="3" max="3" width="85.453125" bestFit="1" customWidth="1"/>
    <col min="4" max="4" width="31.1796875" customWidth="1"/>
    <col min="5" max="5" width="36.1796875" bestFit="1" customWidth="1"/>
    <col min="6" max="6" width="50.1796875" bestFit="1" customWidth="1"/>
    <col min="7" max="7" width="47.54296875" bestFit="1" customWidth="1"/>
    <col min="8" max="8" width="39.54296875" bestFit="1" customWidth="1"/>
  </cols>
  <sheetData>
    <row r="3" spans="3:7" x14ac:dyDescent="0.35">
      <c r="C3" s="272" t="s">
        <v>555</v>
      </c>
      <c r="D3" s="273" t="s">
        <v>727</v>
      </c>
      <c r="E3" s="273" t="s">
        <v>556</v>
      </c>
      <c r="F3" s="273" t="s">
        <v>557</v>
      </c>
    </row>
    <row r="4" spans="3:7" x14ac:dyDescent="0.35">
      <c r="C4" s="53" t="s">
        <v>559</v>
      </c>
      <c r="D4" s="50" t="s">
        <v>728</v>
      </c>
      <c r="E4" s="50" t="s">
        <v>560</v>
      </c>
      <c r="F4" s="50" t="s">
        <v>561</v>
      </c>
    </row>
    <row r="5" spans="3:7" x14ac:dyDescent="0.35">
      <c r="C5" s="272" t="s">
        <v>562</v>
      </c>
      <c r="D5" s="274">
        <v>495</v>
      </c>
      <c r="E5" s="274">
        <v>0.29099999999999998</v>
      </c>
      <c r="F5" s="275">
        <v>6498090</v>
      </c>
    </row>
    <row r="6" spans="3:7" x14ac:dyDescent="0.35">
      <c r="C6" s="272" t="s">
        <v>563</v>
      </c>
      <c r="D6" s="274">
        <v>413.85</v>
      </c>
      <c r="E6" s="274">
        <v>0.29099999999999998</v>
      </c>
      <c r="F6" s="275">
        <v>3774700</v>
      </c>
    </row>
    <row r="7" spans="3:7" x14ac:dyDescent="0.35">
      <c r="C7" s="272" t="s">
        <v>564</v>
      </c>
      <c r="D7" s="274">
        <v>385.45</v>
      </c>
      <c r="E7" s="274">
        <v>0.33700000000000002</v>
      </c>
      <c r="F7" s="274">
        <v>865061</v>
      </c>
    </row>
    <row r="8" spans="3:7" x14ac:dyDescent="0.35">
      <c r="C8" s="272" t="s">
        <v>565</v>
      </c>
      <c r="D8" s="274">
        <v>389.51</v>
      </c>
      <c r="E8" s="274">
        <v>0.33700000000000002</v>
      </c>
      <c r="F8" s="275">
        <v>1272760</v>
      </c>
    </row>
    <row r="10" spans="3:7" x14ac:dyDescent="0.35">
      <c r="C10" s="272" t="s">
        <v>723</v>
      </c>
      <c r="D10" s="273"/>
    </row>
    <row r="11" spans="3:7" x14ac:dyDescent="0.35">
      <c r="C11" s="53" t="s">
        <v>724</v>
      </c>
      <c r="D11" s="50" t="s">
        <v>726</v>
      </c>
    </row>
    <row r="12" spans="3:7" x14ac:dyDescent="0.35">
      <c r="C12" s="53" t="s">
        <v>725</v>
      </c>
      <c r="D12" s="274">
        <v>1000</v>
      </c>
    </row>
    <row r="14" spans="3:7" x14ac:dyDescent="0.35">
      <c r="C14" s="272" t="s">
        <v>566</v>
      </c>
      <c r="D14" s="273" t="s">
        <v>567</v>
      </c>
      <c r="E14" s="273" t="s">
        <v>568</v>
      </c>
      <c r="F14" s="273" t="s">
        <v>569</v>
      </c>
      <c r="G14" s="273" t="s">
        <v>570</v>
      </c>
    </row>
    <row r="15" spans="3:7" x14ac:dyDescent="0.35">
      <c r="C15" s="53" t="s">
        <v>571</v>
      </c>
      <c r="D15" s="50" t="s">
        <v>560</v>
      </c>
      <c r="E15" s="50" t="s">
        <v>560</v>
      </c>
      <c r="F15" s="50" t="s">
        <v>561</v>
      </c>
      <c r="G15" s="50" t="s">
        <v>560</v>
      </c>
    </row>
    <row r="16" spans="3:7" x14ac:dyDescent="0.35">
      <c r="C16" s="53" t="s">
        <v>572</v>
      </c>
      <c r="D16" s="274">
        <v>0.1</v>
      </c>
      <c r="E16" s="274">
        <v>4.3499999999999997E-2</v>
      </c>
      <c r="F16" s="275">
        <v>11513100</v>
      </c>
      <c r="G16" s="275">
        <v>0.1</v>
      </c>
    </row>
    <row r="18" spans="3:20" x14ac:dyDescent="0.35">
      <c r="C18" s="282" t="s">
        <v>626</v>
      </c>
    </row>
    <row r="19" spans="3:20" x14ac:dyDescent="0.35">
      <c r="C19" s="288" t="s">
        <v>627</v>
      </c>
      <c r="D19" s="289">
        <v>2012</v>
      </c>
      <c r="E19" s="289">
        <v>2013</v>
      </c>
      <c r="F19" s="289">
        <v>2014</v>
      </c>
      <c r="G19" s="289">
        <v>2015</v>
      </c>
      <c r="H19" s="289">
        <v>2016</v>
      </c>
      <c r="I19" s="289">
        <v>2017</v>
      </c>
      <c r="J19" s="289">
        <v>2018</v>
      </c>
      <c r="K19" s="289">
        <v>2019</v>
      </c>
      <c r="L19" s="289">
        <v>2020</v>
      </c>
    </row>
    <row r="20" spans="3:20" x14ac:dyDescent="0.35">
      <c r="C20" s="272" t="s">
        <v>562</v>
      </c>
      <c r="D20" s="290">
        <v>0.25</v>
      </c>
      <c r="E20" s="290">
        <v>0.23</v>
      </c>
      <c r="F20" s="290">
        <v>0.25</v>
      </c>
      <c r="G20" s="290">
        <v>0.23</v>
      </c>
      <c r="H20" s="290">
        <v>0.24</v>
      </c>
      <c r="I20" s="290">
        <v>0.34</v>
      </c>
      <c r="J20" s="290">
        <v>0.45</v>
      </c>
      <c r="K20" s="290">
        <v>0.65</v>
      </c>
      <c r="L20" s="290">
        <v>0.79</v>
      </c>
    </row>
    <row r="21" spans="3:20" x14ac:dyDescent="0.35">
      <c r="C21" s="272" t="s">
        <v>563</v>
      </c>
      <c r="D21" s="290">
        <v>0.66</v>
      </c>
      <c r="E21" s="290">
        <v>0.69</v>
      </c>
      <c r="F21" s="290">
        <v>0.68</v>
      </c>
      <c r="G21" s="290">
        <v>0.71</v>
      </c>
      <c r="H21" s="290">
        <v>0.7</v>
      </c>
      <c r="I21" s="290">
        <v>0.62</v>
      </c>
      <c r="J21" s="290">
        <v>0.51</v>
      </c>
      <c r="K21" s="290">
        <v>0.3</v>
      </c>
      <c r="L21" s="290">
        <v>0.16</v>
      </c>
    </row>
    <row r="22" spans="3:20" x14ac:dyDescent="0.35">
      <c r="C22" s="272" t="s">
        <v>564</v>
      </c>
      <c r="D22" s="290">
        <v>6.5000000000000002E-2</v>
      </c>
      <c r="E22" s="290">
        <v>0.05</v>
      </c>
      <c r="F22" s="290">
        <v>4.7500000000000001E-2</v>
      </c>
      <c r="G22" s="290">
        <v>4.2000000000000003E-2</v>
      </c>
      <c r="H22" s="290">
        <v>4.4999999999999998E-2</v>
      </c>
      <c r="I22" s="290">
        <v>2.7E-2</v>
      </c>
      <c r="J22" s="290">
        <v>2.7E-2</v>
      </c>
      <c r="K22" s="290">
        <v>3.5000000000000003E-2</v>
      </c>
      <c r="L22" s="290">
        <v>3.5000000000000003E-2</v>
      </c>
    </row>
    <row r="23" spans="3:20" x14ac:dyDescent="0.35">
      <c r="C23" s="272" t="s">
        <v>565</v>
      </c>
      <c r="D23" s="290">
        <v>2.5000000000000001E-2</v>
      </c>
      <c r="E23" s="290">
        <v>0.03</v>
      </c>
      <c r="F23" s="290">
        <v>2.2499999999999999E-2</v>
      </c>
      <c r="G23" s="290">
        <v>1.7999999999999999E-2</v>
      </c>
      <c r="H23" s="290">
        <v>1.4999999999999999E-2</v>
      </c>
      <c r="I23" s="290">
        <v>1.2999999999999999E-2</v>
      </c>
      <c r="J23" s="290">
        <v>1.2999999999999999E-2</v>
      </c>
      <c r="K23" s="290">
        <v>1.4999999999999999E-2</v>
      </c>
      <c r="L23" s="290">
        <v>1.4999999999999999E-2</v>
      </c>
    </row>
    <row r="25" spans="3:20" x14ac:dyDescent="0.35">
      <c r="C25" s="272" t="s">
        <v>566</v>
      </c>
      <c r="D25" s="273" t="s">
        <v>628</v>
      </c>
    </row>
    <row r="26" spans="3:20" x14ac:dyDescent="0.35">
      <c r="C26" s="53" t="s">
        <v>571</v>
      </c>
      <c r="D26" s="50" t="s">
        <v>629</v>
      </c>
    </row>
    <row r="27" spans="3:20" x14ac:dyDescent="0.35">
      <c r="C27" s="53" t="s">
        <v>572</v>
      </c>
      <c r="D27" s="274">
        <v>2.12</v>
      </c>
    </row>
    <row r="29" spans="3:20" x14ac:dyDescent="0.35">
      <c r="C29" s="292" t="s">
        <v>658</v>
      </c>
    </row>
    <row r="30" spans="3:20" x14ac:dyDescent="0.35">
      <c r="C30" s="237" t="s">
        <v>4</v>
      </c>
      <c r="D30" s="292">
        <v>2005</v>
      </c>
      <c r="E30" s="292">
        <v>2006</v>
      </c>
      <c r="F30" s="292">
        <v>2007</v>
      </c>
      <c r="G30" s="292">
        <v>2008</v>
      </c>
      <c r="H30" s="292">
        <v>2009</v>
      </c>
      <c r="I30" s="292">
        <v>2010</v>
      </c>
      <c r="J30" s="292">
        <v>2011</v>
      </c>
      <c r="K30" s="292">
        <v>2012</v>
      </c>
      <c r="L30" s="292">
        <v>2013</v>
      </c>
      <c r="M30" s="292">
        <v>2014</v>
      </c>
      <c r="N30" s="292">
        <v>2015</v>
      </c>
      <c r="O30" s="292">
        <v>2016</v>
      </c>
      <c r="P30" s="292">
        <v>2017</v>
      </c>
      <c r="Q30" s="292">
        <v>2018</v>
      </c>
      <c r="R30" s="292">
        <v>2019</v>
      </c>
      <c r="S30" s="292">
        <v>2020</v>
      </c>
      <c r="T30" s="292">
        <v>2021</v>
      </c>
    </row>
    <row r="31" spans="3:20" x14ac:dyDescent="0.35">
      <c r="C31" s="292" t="s">
        <v>562</v>
      </c>
      <c r="D31" s="293">
        <v>0.14940208505361269</v>
      </c>
      <c r="E31" s="293">
        <v>0.15245110719756397</v>
      </c>
      <c r="F31" s="293">
        <v>0.15556235428322854</v>
      </c>
      <c r="G31" s="293">
        <v>0.15873709620737605</v>
      </c>
      <c r="H31" s="293">
        <v>0.16197662878303679</v>
      </c>
      <c r="I31" s="293">
        <v>0.16528227426840489</v>
      </c>
      <c r="J31" s="293">
        <v>0.16865538190653562</v>
      </c>
      <c r="K31" s="293">
        <v>0.17209732847605674</v>
      </c>
      <c r="L31" s="293">
        <v>0.17560951885311912</v>
      </c>
      <c r="M31" s="293">
        <v>0.17919338658481543</v>
      </c>
      <c r="N31" s="293">
        <v>0.18285039447430146</v>
      </c>
      <c r="O31" s="293">
        <v>0.18658203517785862</v>
      </c>
      <c r="P31" s="293">
        <v>0.19038983181414146</v>
      </c>
      <c r="Q31" s="293">
        <v>0.19427533858585863</v>
      </c>
      <c r="R31" s="293">
        <v>0.19824014141414145</v>
      </c>
      <c r="S31" s="293">
        <v>0.20228585858585862</v>
      </c>
      <c r="T31" s="293">
        <v>0.20641414141414147</v>
      </c>
    </row>
    <row r="32" spans="3:20" x14ac:dyDescent="0.35">
      <c r="C32" s="292" t="s">
        <v>563</v>
      </c>
      <c r="D32" s="293">
        <v>0.12490993996285644</v>
      </c>
      <c r="E32" s="293">
        <v>0.12745912241107801</v>
      </c>
      <c r="F32" s="293">
        <v>0.13006032899089592</v>
      </c>
      <c r="G32" s="293">
        <v>0.13271462141928156</v>
      </c>
      <c r="H32" s="293">
        <v>0.13542308308089956</v>
      </c>
      <c r="I32" s="293">
        <v>0.13818681947030567</v>
      </c>
      <c r="J32" s="293">
        <v>0.14100695864316906</v>
      </c>
      <c r="K32" s="293">
        <v>0.14388465167670314</v>
      </c>
      <c r="L32" s="293">
        <v>0.146821073139493</v>
      </c>
      <c r="M32" s="293">
        <v>0.14981742157091121</v>
      </c>
      <c r="N32" s="293">
        <v>0.15287491997031757</v>
      </c>
      <c r="O32" s="293">
        <v>0.15599481629624243</v>
      </c>
      <c r="P32" s="293">
        <v>0.15917838397575759</v>
      </c>
      <c r="Q32" s="293">
        <v>0.16242692242424245</v>
      </c>
      <c r="R32" s="293">
        <v>0.1657417575757576</v>
      </c>
      <c r="S32" s="293">
        <v>0.16912424242424245</v>
      </c>
      <c r="T32" s="293">
        <v>0.1725757575757576</v>
      </c>
    </row>
    <row r="33" spans="3:20" x14ac:dyDescent="0.35">
      <c r="C33" s="292" t="s">
        <v>564</v>
      </c>
      <c r="D33" s="293">
        <v>0.13390257830961169</v>
      </c>
      <c r="E33" s="293">
        <v>0.1366352839893997</v>
      </c>
      <c r="F33" s="293">
        <v>0.13942375917285685</v>
      </c>
      <c r="G33" s="293">
        <v>0.14226914201311924</v>
      </c>
      <c r="H33" s="293">
        <v>0.14517259389093801</v>
      </c>
      <c r="I33" s="293">
        <v>0.14813529988871224</v>
      </c>
      <c r="J33" s="293">
        <v>0.15115846927419616</v>
      </c>
      <c r="K33" s="293">
        <v>0.15424333599407772</v>
      </c>
      <c r="L33" s="293">
        <v>0.15739115917763033</v>
      </c>
      <c r="M33" s="293">
        <v>0.1606032236506432</v>
      </c>
      <c r="N33" s="293">
        <v>0.16388084045984</v>
      </c>
      <c r="O33" s="293">
        <v>0.16722534740799999</v>
      </c>
      <c r="P33" s="293">
        <v>0.1706381096</v>
      </c>
      <c r="Q33" s="293">
        <v>0.17412052</v>
      </c>
      <c r="R33" s="293">
        <v>0.177674</v>
      </c>
      <c r="S33" s="293">
        <v>0.18129999999999999</v>
      </c>
      <c r="T33" s="293">
        <v>0.185</v>
      </c>
    </row>
    <row r="34" spans="3:20" x14ac:dyDescent="0.35">
      <c r="C34" s="292" t="s">
        <v>565</v>
      </c>
      <c r="D34" s="293">
        <v>9.4093703677024465E-2</v>
      </c>
      <c r="E34" s="293">
        <v>9.6013983343902515E-2</v>
      </c>
      <c r="F34" s="293">
        <v>9.7973452391737256E-2</v>
      </c>
      <c r="G34" s="293">
        <v>9.9972910603813525E-2</v>
      </c>
      <c r="H34" s="293">
        <v>0.102013174085524</v>
      </c>
      <c r="I34" s="293">
        <v>0.10409507559747347</v>
      </c>
      <c r="J34" s="293">
        <v>0.10621946489538109</v>
      </c>
      <c r="K34" s="293">
        <v>0.10838720907691948</v>
      </c>
      <c r="L34" s="293">
        <v>0.11059919293563213</v>
      </c>
      <c r="M34" s="293">
        <v>0.1128563193220736</v>
      </c>
      <c r="N34" s="293">
        <v>0.11515950951232</v>
      </c>
      <c r="O34" s="293">
        <v>0.11750970358399999</v>
      </c>
      <c r="P34" s="293">
        <v>0.1199078608</v>
      </c>
      <c r="Q34" s="293">
        <v>0.12235496</v>
      </c>
      <c r="R34" s="293">
        <v>0.124852</v>
      </c>
      <c r="S34" s="293">
        <v>0.12740000000000001</v>
      </c>
      <c r="T34" s="293">
        <v>0.13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tabColor theme="1"/>
  </sheetPr>
  <dimension ref="A2:C11"/>
  <sheetViews>
    <sheetView workbookViewId="0">
      <selection activeCell="C12" sqref="C12"/>
    </sheetView>
  </sheetViews>
  <sheetFormatPr baseColWidth="10" defaultRowHeight="14.5" x14ac:dyDescent="0.35"/>
  <cols>
    <col min="1" max="1" width="14.81640625" bestFit="1" customWidth="1"/>
    <col min="2" max="2" width="14.54296875" customWidth="1"/>
    <col min="3" max="3" width="78" customWidth="1"/>
  </cols>
  <sheetData>
    <row r="2" spans="1:3" x14ac:dyDescent="0.35">
      <c r="A2" t="s">
        <v>473</v>
      </c>
      <c r="B2" t="s">
        <v>475</v>
      </c>
      <c r="C2" t="s">
        <v>476</v>
      </c>
    </row>
    <row r="3" spans="1:3" x14ac:dyDescent="0.35">
      <c r="A3" s="262">
        <v>44581.5</v>
      </c>
      <c r="B3" t="s">
        <v>474</v>
      </c>
      <c r="C3" t="s">
        <v>477</v>
      </c>
    </row>
    <row r="4" spans="1:3" x14ac:dyDescent="0.35">
      <c r="C4" t="s">
        <v>478</v>
      </c>
    </row>
    <row r="5" spans="1:3" x14ac:dyDescent="0.35">
      <c r="A5" s="263">
        <v>44642</v>
      </c>
      <c r="B5" t="s">
        <v>474</v>
      </c>
      <c r="C5" t="s">
        <v>484</v>
      </c>
    </row>
    <row r="6" spans="1:3" x14ac:dyDescent="0.35">
      <c r="A6" s="263">
        <v>44679</v>
      </c>
      <c r="B6" t="s">
        <v>474</v>
      </c>
      <c r="C6" t="s">
        <v>551</v>
      </c>
    </row>
    <row r="7" spans="1:3" x14ac:dyDescent="0.35">
      <c r="A7" s="263">
        <v>44749</v>
      </c>
      <c r="B7" t="s">
        <v>474</v>
      </c>
      <c r="C7" t="s">
        <v>552</v>
      </c>
    </row>
    <row r="8" spans="1:3" x14ac:dyDescent="0.35">
      <c r="A8" s="263">
        <v>44771</v>
      </c>
      <c r="B8" t="s">
        <v>474</v>
      </c>
      <c r="C8" t="s">
        <v>553</v>
      </c>
    </row>
    <row r="9" spans="1:3" x14ac:dyDescent="0.35">
      <c r="A9" s="263">
        <v>44805</v>
      </c>
      <c r="B9" t="s">
        <v>474</v>
      </c>
      <c r="C9" t="s">
        <v>577</v>
      </c>
    </row>
    <row r="10" spans="1:3" x14ac:dyDescent="0.35">
      <c r="A10" s="263">
        <v>44805</v>
      </c>
      <c r="B10" t="s">
        <v>474</v>
      </c>
      <c r="C10" t="s">
        <v>578</v>
      </c>
    </row>
    <row r="11" spans="1:3" ht="43.5" x14ac:dyDescent="0.35">
      <c r="A11" s="263">
        <v>44882</v>
      </c>
      <c r="B11" t="s">
        <v>613</v>
      </c>
      <c r="C11" s="287" t="s">
        <v>625</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Region"/>
  <dimension ref="A3:P275"/>
  <sheetViews>
    <sheetView topLeftCell="A97" zoomScale="55" zoomScaleNormal="55" workbookViewId="0">
      <selection activeCell="D108" sqref="D108"/>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6" max="16" width="42.1796875" bestFit="1" customWidth="1"/>
    <col min="18" max="18" width="31.81640625" customWidth="1"/>
    <col min="26" max="26" width="11.453125" customWidth="1"/>
  </cols>
  <sheetData>
    <row r="3" spans="1:9" ht="92" x14ac:dyDescent="2">
      <c r="A3" s="305" t="s">
        <v>550</v>
      </c>
      <c r="B3" s="305"/>
      <c r="C3" s="305"/>
      <c r="D3" s="305"/>
      <c r="E3" s="305"/>
      <c r="F3" s="305"/>
      <c r="G3" s="305"/>
      <c r="H3" s="305"/>
      <c r="I3" s="305"/>
    </row>
    <row r="5" spans="1:9" ht="29" x14ac:dyDescent="0.35">
      <c r="A5" s="255" t="s">
        <v>385</v>
      </c>
      <c r="B5" s="265" t="s">
        <v>493</v>
      </c>
    </row>
    <row r="6" spans="1:9" x14ac:dyDescent="0.35">
      <c r="A6" s="248" t="s">
        <v>423</v>
      </c>
      <c r="B6" s="266" t="s">
        <v>419</v>
      </c>
    </row>
    <row r="7" spans="1:9" x14ac:dyDescent="0.35">
      <c r="A7" s="251" t="s">
        <v>490</v>
      </c>
      <c r="B7" s="256">
        <v>0.01</v>
      </c>
    </row>
    <row r="8" spans="1:9" x14ac:dyDescent="0.35">
      <c r="A8" s="251" t="s">
        <v>491</v>
      </c>
      <c r="B8" s="256">
        <v>5.0000000000000001E-3</v>
      </c>
    </row>
    <row r="9" spans="1:9" x14ac:dyDescent="0.35">
      <c r="A9" s="251" t="s">
        <v>492</v>
      </c>
      <c r="B9" s="256">
        <v>0.3</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0</v>
      </c>
    </row>
    <row r="20" spans="1:16" x14ac:dyDescent="0.35">
      <c r="A20" s="251" t="s">
        <v>487</v>
      </c>
      <c r="B20" s="250">
        <v>0</v>
      </c>
    </row>
    <row r="21" spans="1:16" x14ac:dyDescent="0.35">
      <c r="A21" s="251" t="s">
        <v>488</v>
      </c>
      <c r="B21" s="250">
        <v>1.38</v>
      </c>
    </row>
    <row r="22" spans="1:16" x14ac:dyDescent="0.35">
      <c r="A22" s="251" t="s">
        <v>489</v>
      </c>
      <c r="B22" s="250">
        <v>1.38</v>
      </c>
    </row>
    <row r="23" spans="1:16" x14ac:dyDescent="0.35">
      <c r="A23" s="251" t="s">
        <v>579</v>
      </c>
      <c r="B23" s="250"/>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645</v>
      </c>
    </row>
    <row r="28" spans="1:16" x14ac:dyDescent="0.35">
      <c r="A28" s="251" t="s">
        <v>498</v>
      </c>
      <c r="B28" s="285">
        <v>0.05</v>
      </c>
      <c r="C28" s="250">
        <v>0.95</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0.05</v>
      </c>
      <c r="C29" s="250">
        <v>0.95</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0.05</v>
      </c>
      <c r="H31" s="250">
        <v>0.95</v>
      </c>
      <c r="I31" s="247">
        <v>0</v>
      </c>
      <c r="J31" s="247">
        <v>0</v>
      </c>
      <c r="K31" s="247">
        <v>0</v>
      </c>
      <c r="L31" s="247">
        <v>0</v>
      </c>
      <c r="M31" s="247">
        <v>0</v>
      </c>
      <c r="N31" s="247">
        <v>0</v>
      </c>
      <c r="O31" s="247">
        <v>0</v>
      </c>
      <c r="P31" s="246">
        <f t="shared" si="0"/>
        <v>1</v>
      </c>
    </row>
    <row r="32" spans="1:16" x14ac:dyDescent="0.35">
      <c r="A32" s="251" t="s">
        <v>588</v>
      </c>
      <c r="B32" s="247">
        <v>0</v>
      </c>
      <c r="C32" s="247">
        <v>0</v>
      </c>
      <c r="D32" s="247">
        <v>0</v>
      </c>
      <c r="E32" s="247">
        <v>0</v>
      </c>
      <c r="F32" s="247">
        <v>0</v>
      </c>
      <c r="G32" s="285">
        <v>0.05</v>
      </c>
      <c r="H32" s="250">
        <v>0.95</v>
      </c>
      <c r="I32" s="247">
        <v>0</v>
      </c>
      <c r="J32" s="247">
        <v>0</v>
      </c>
      <c r="K32" s="247">
        <v>0</v>
      </c>
      <c r="L32" s="247">
        <v>0</v>
      </c>
      <c r="M32" s="247">
        <v>0</v>
      </c>
      <c r="N32" s="247">
        <v>0</v>
      </c>
      <c r="O32" s="247">
        <v>0</v>
      </c>
      <c r="P32" s="246">
        <f t="shared" si="0"/>
        <v>1</v>
      </c>
    </row>
    <row r="33" spans="1:16" x14ac:dyDescent="0.35">
      <c r="A33" s="251" t="s">
        <v>580</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581</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583</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589</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0.1</v>
      </c>
      <c r="C38" s="250">
        <v>0.9</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582</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0.2</v>
      </c>
      <c r="H41" s="250">
        <v>0.8</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587</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584</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590</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0.05</v>
      </c>
      <c r="C47" s="250">
        <v>0.95</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0.05</v>
      </c>
      <c r="C48" s="250">
        <v>0.95</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0.1</v>
      </c>
      <c r="H52" s="250">
        <v>0.9</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0.1</v>
      </c>
      <c r="H53" s="250">
        <v>0.9</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644</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585</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586</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0.1</v>
      </c>
      <c r="C65" s="250">
        <v>0.9</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591</v>
      </c>
      <c r="B66" s="247">
        <v>0</v>
      </c>
      <c r="C66" s="247">
        <v>0</v>
      </c>
      <c r="D66" s="247">
        <v>0</v>
      </c>
      <c r="E66" s="247">
        <v>0</v>
      </c>
      <c r="F66" s="247">
        <v>0</v>
      </c>
      <c r="G66" s="285">
        <v>7.0000000000000007E-2</v>
      </c>
      <c r="H66" s="250">
        <v>0.93</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v>8.3333333333333301E-2</v>
      </c>
      <c r="D74" s="256">
        <v>8.3333333333333301E-2</v>
      </c>
      <c r="E74" s="247">
        <v>0</v>
      </c>
      <c r="F74" s="247">
        <v>0</v>
      </c>
      <c r="G74" s="256">
        <v>0.83333333333333304</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0.5</v>
      </c>
      <c r="D79" s="256">
        <v>0.5</v>
      </c>
      <c r="E79" s="247">
        <v>0</v>
      </c>
      <c r="F79" s="247">
        <v>0</v>
      </c>
      <c r="G79" s="256">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1</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v>0.9</v>
      </c>
    </row>
    <row r="92" spans="1:15" x14ac:dyDescent="0.35">
      <c r="A92" s="251" t="s">
        <v>530</v>
      </c>
      <c r="B92" s="250">
        <v>0.9</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5" t="s">
        <v>546</v>
      </c>
      <c r="B105" s="305"/>
      <c r="C105" s="305"/>
      <c r="D105" s="305"/>
      <c r="E105" s="305"/>
      <c r="F105" s="305"/>
      <c r="G105" s="305"/>
      <c r="H105" s="305"/>
      <c r="I105" s="305"/>
    </row>
    <row r="106" spans="1:9" x14ac:dyDescent="0.35">
      <c r="A106"/>
    </row>
    <row r="107" spans="1:9" x14ac:dyDescent="0.35">
      <c r="A107"/>
    </row>
    <row r="108" spans="1:9" x14ac:dyDescent="0.35">
      <c r="A108"/>
    </row>
    <row r="110" spans="1:9" x14ac:dyDescent="0.35">
      <c r="B110" s="246"/>
    </row>
    <row r="113" spans="1:6" x14ac:dyDescent="0.35">
      <c r="C113" s="254" t="s">
        <v>422</v>
      </c>
    </row>
    <row r="114" spans="1:6" x14ac:dyDescent="0.35">
      <c r="B114" s="254" t="s">
        <v>427</v>
      </c>
      <c r="C114" t="s">
        <v>469</v>
      </c>
    </row>
    <row r="115" spans="1:6" ht="29" x14ac:dyDescent="0.35">
      <c r="A115" s="255" t="s">
        <v>426</v>
      </c>
      <c r="B115" s="252" t="s">
        <v>548</v>
      </c>
      <c r="C115" s="252" t="s">
        <v>549</v>
      </c>
      <c r="D115" s="252" t="s">
        <v>659</v>
      </c>
    </row>
    <row r="116" spans="1:6" x14ac:dyDescent="0.35">
      <c r="A116" s="83" t="s">
        <v>421</v>
      </c>
      <c r="B116" s="259" t="s">
        <v>547</v>
      </c>
      <c r="C116" s="253" t="s">
        <v>419</v>
      </c>
      <c r="D116" s="253" t="s">
        <v>226</v>
      </c>
    </row>
    <row r="117" spans="1:6" x14ac:dyDescent="0.35">
      <c r="A117" s="251" t="s">
        <v>448</v>
      </c>
      <c r="B117" s="261">
        <f>8760*0.9</f>
        <v>7884</v>
      </c>
      <c r="C117" s="256">
        <f>[1]EU27!C480</f>
        <v>6.2638890322837842E-2</v>
      </c>
      <c r="D117" s="261">
        <v>25</v>
      </c>
      <c r="F117" s="175" t="s">
        <v>614</v>
      </c>
    </row>
    <row r="118" spans="1:6" x14ac:dyDescent="0.35">
      <c r="A118" s="251" t="s">
        <v>452</v>
      </c>
      <c r="B118" s="261">
        <f t="shared" ref="B118:B126" si="1">8760*0.9</f>
        <v>7884</v>
      </c>
      <c r="C118" s="256">
        <f>[1]EU27!C481</f>
        <v>6.2638890322837842E-2</v>
      </c>
      <c r="D118" s="261">
        <v>25</v>
      </c>
      <c r="F118" t="s">
        <v>615</v>
      </c>
    </row>
    <row r="119" spans="1:6" x14ac:dyDescent="0.35">
      <c r="A119" s="251" t="s">
        <v>449</v>
      </c>
      <c r="B119" s="261">
        <f t="shared" si="1"/>
        <v>7884</v>
      </c>
      <c r="C119" s="256">
        <f>[1]EU27!C482</f>
        <v>0.24399920288592691</v>
      </c>
      <c r="D119" s="261">
        <v>25</v>
      </c>
      <c r="F119" t="s">
        <v>616</v>
      </c>
    </row>
    <row r="120" spans="1:6" x14ac:dyDescent="0.35">
      <c r="A120" s="251" t="s">
        <v>451</v>
      </c>
      <c r="B120" s="261">
        <f t="shared" si="1"/>
        <v>7884</v>
      </c>
      <c r="C120" s="256">
        <f>[1]EU27!C483</f>
        <v>1.1385152217448288E-2</v>
      </c>
      <c r="D120" s="261">
        <v>25</v>
      </c>
      <c r="F120" t="s">
        <v>617</v>
      </c>
    </row>
    <row r="121" spans="1:6" x14ac:dyDescent="0.35">
      <c r="A121" s="251" t="s">
        <v>592</v>
      </c>
      <c r="B121" s="261">
        <f t="shared" si="1"/>
        <v>7884</v>
      </c>
      <c r="C121" s="256">
        <f>[1]EU27!C484</f>
        <v>1.1385152217448288E-2</v>
      </c>
      <c r="D121" s="261">
        <v>25</v>
      </c>
      <c r="F121" t="s">
        <v>618</v>
      </c>
    </row>
    <row r="122" spans="1:6" x14ac:dyDescent="0.35">
      <c r="A122" s="251" t="s">
        <v>593</v>
      </c>
      <c r="B122" s="261">
        <f t="shared" si="1"/>
        <v>7884</v>
      </c>
      <c r="C122" s="256">
        <f>[1]EU27!C485</f>
        <v>1.5171112258819539E-2</v>
      </c>
      <c r="D122" s="261">
        <v>25</v>
      </c>
      <c r="F122" t="s">
        <v>619</v>
      </c>
    </row>
    <row r="123" spans="1:6" x14ac:dyDescent="0.35">
      <c r="A123" s="251" t="s">
        <v>594</v>
      </c>
      <c r="B123" s="261">
        <f t="shared" si="1"/>
        <v>7884</v>
      </c>
      <c r="C123" s="256">
        <f>[1]EU27!C486</f>
        <v>1.5171112258819539E-2</v>
      </c>
      <c r="D123" s="261">
        <v>25</v>
      </c>
      <c r="F123" t="s">
        <v>620</v>
      </c>
    </row>
    <row r="124" spans="1:6" x14ac:dyDescent="0.35">
      <c r="A124" s="251" t="s">
        <v>450</v>
      </c>
      <c r="B124" s="261">
        <f t="shared" si="1"/>
        <v>7884</v>
      </c>
      <c r="C124" s="256">
        <f>[1]EU27!C487</f>
        <v>8.922177747532227E-2</v>
      </c>
      <c r="D124" s="261">
        <v>25</v>
      </c>
      <c r="F124" t="s">
        <v>621</v>
      </c>
    </row>
    <row r="125" spans="1:6" x14ac:dyDescent="0.35">
      <c r="A125" s="251" t="s">
        <v>595</v>
      </c>
      <c r="B125" s="261">
        <f t="shared" si="1"/>
        <v>7884</v>
      </c>
      <c r="C125" s="256">
        <f>[1]EU27!C488</f>
        <v>1.5171112258819539E-2</v>
      </c>
      <c r="D125" s="261">
        <v>25</v>
      </c>
      <c r="F125" t="s">
        <v>622</v>
      </c>
    </row>
    <row r="126" spans="1:6" x14ac:dyDescent="0.35">
      <c r="A126" s="251" t="s">
        <v>596</v>
      </c>
      <c r="B126" s="261">
        <f t="shared" si="1"/>
        <v>7884</v>
      </c>
      <c r="C126" s="256">
        <f>[1]EU27!C489</f>
        <v>1.5171112258819539E-2</v>
      </c>
      <c r="D126" s="261">
        <v>25</v>
      </c>
      <c r="F126" t="s">
        <v>623</v>
      </c>
    </row>
    <row r="127" spans="1:6" x14ac:dyDescent="0.35">
      <c r="A127" s="251" t="s">
        <v>597</v>
      </c>
      <c r="B127" s="260">
        <f>[1]EU27!B490</f>
        <v>3066</v>
      </c>
      <c r="C127" s="247">
        <f>[1]EU27!C490</f>
        <v>0.3</v>
      </c>
      <c r="D127" s="261">
        <v>25</v>
      </c>
      <c r="F127" t="s">
        <v>624</v>
      </c>
    </row>
    <row r="128" spans="1:6" x14ac:dyDescent="0.35">
      <c r="A128" s="251" t="s">
        <v>598</v>
      </c>
      <c r="B128" s="260">
        <f>[1]EU27!B491</f>
        <v>3066</v>
      </c>
      <c r="C128" s="247">
        <f>[1]EU27!C491</f>
        <v>0.3</v>
      </c>
      <c r="D128" s="261">
        <v>25</v>
      </c>
    </row>
    <row r="129" spans="1:4" x14ac:dyDescent="0.35">
      <c r="A129" s="251" t="s">
        <v>599</v>
      </c>
      <c r="B129" s="260">
        <f>[1]EU27!B492</f>
        <v>3066</v>
      </c>
      <c r="C129" s="247">
        <f>[1]EU27!C492</f>
        <v>0.3</v>
      </c>
      <c r="D129" s="261">
        <v>25</v>
      </c>
    </row>
    <row r="130" spans="1:4" x14ac:dyDescent="0.35">
      <c r="A130" s="251" t="s">
        <v>600</v>
      </c>
      <c r="B130" s="260">
        <f>[1]EU27!B493</f>
        <v>3066</v>
      </c>
      <c r="C130" s="247">
        <f>[1]EU27!C493</f>
        <v>0.3</v>
      </c>
      <c r="D130" s="261">
        <v>25</v>
      </c>
    </row>
    <row r="131" spans="1:4" x14ac:dyDescent="0.35">
      <c r="A131" s="251" t="s">
        <v>601</v>
      </c>
      <c r="B131" s="260">
        <f>[1]EU27!B494</f>
        <v>3066</v>
      </c>
      <c r="C131" s="247">
        <f>[1]EU27!C494</f>
        <v>0.3</v>
      </c>
      <c r="D131" s="261">
        <v>25</v>
      </c>
    </row>
    <row r="132" spans="1:4" x14ac:dyDescent="0.35">
      <c r="A132" s="251" t="s">
        <v>602</v>
      </c>
      <c r="B132" s="260">
        <f>[1]EU27!B495</f>
        <v>3066</v>
      </c>
      <c r="C132" s="247">
        <f>[1]EU27!C495</f>
        <v>0.3</v>
      </c>
      <c r="D132" s="261">
        <v>25</v>
      </c>
    </row>
    <row r="133" spans="1:4" x14ac:dyDescent="0.35">
      <c r="A133" s="251" t="s">
        <v>603</v>
      </c>
      <c r="B133" s="260">
        <f>[1]EU27!B496</f>
        <v>3066</v>
      </c>
      <c r="C133" s="247">
        <f>[1]EU27!C496</f>
        <v>0.3</v>
      </c>
      <c r="D133" s="261">
        <v>25</v>
      </c>
    </row>
    <row r="134" spans="1:4" x14ac:dyDescent="0.35">
      <c r="A134" s="251" t="s">
        <v>604</v>
      </c>
      <c r="B134" s="261">
        <f t="shared" ref="B134:B138" si="2">8760*0.9</f>
        <v>7884</v>
      </c>
      <c r="C134" s="256">
        <f>[1]EU27!C497</f>
        <v>1.5171112258819539E-2</v>
      </c>
      <c r="D134" s="261">
        <v>25</v>
      </c>
    </row>
    <row r="135" spans="1:4" x14ac:dyDescent="0.35">
      <c r="A135" s="251" t="s">
        <v>605</v>
      </c>
      <c r="B135" s="261">
        <f t="shared" si="2"/>
        <v>7884</v>
      </c>
      <c r="C135" s="256">
        <f>[1]EU27!C498</f>
        <v>1.5171112258819539E-2</v>
      </c>
      <c r="D135" s="261">
        <v>25</v>
      </c>
    </row>
    <row r="136" spans="1:4" x14ac:dyDescent="0.35">
      <c r="A136" s="251" t="s">
        <v>453</v>
      </c>
      <c r="B136" s="261">
        <f t="shared" si="2"/>
        <v>7884</v>
      </c>
      <c r="C136" s="256">
        <f>[1]EU27!C499</f>
        <v>9.6083410786124659E-2</v>
      </c>
      <c r="D136" s="261">
        <v>25</v>
      </c>
    </row>
    <row r="137" spans="1:4" x14ac:dyDescent="0.35">
      <c r="A137" s="251" t="s">
        <v>466</v>
      </c>
      <c r="B137" s="261">
        <f t="shared" si="2"/>
        <v>7884</v>
      </c>
      <c r="C137" s="256">
        <f>[1]EU27!C500</f>
        <v>9.6083410786124659E-2</v>
      </c>
      <c r="D137" s="261">
        <v>25</v>
      </c>
    </row>
    <row r="138" spans="1:4" x14ac:dyDescent="0.35">
      <c r="A138" s="251" t="s">
        <v>463</v>
      </c>
      <c r="B138" s="261">
        <f t="shared" si="2"/>
        <v>7884</v>
      </c>
      <c r="C138" s="256">
        <f>[1]EU27!C501</f>
        <v>9.333863575612833E-2</v>
      </c>
      <c r="D138" s="261">
        <v>25</v>
      </c>
    </row>
    <row r="139" spans="1:4" x14ac:dyDescent="0.35">
      <c r="A139" s="251" t="s">
        <v>457</v>
      </c>
      <c r="B139" s="294">
        <f>[1]EU27!B502</f>
        <v>3793.1240155356795</v>
      </c>
      <c r="C139" s="256">
        <f>[1]EU27!C502</f>
        <v>1.0986572719598461E-2</v>
      </c>
      <c r="D139" s="261">
        <v>100</v>
      </c>
    </row>
    <row r="140" spans="1:4" x14ac:dyDescent="0.35">
      <c r="A140" s="251" t="s">
        <v>456</v>
      </c>
      <c r="B140" s="294">
        <f>[1]EU27!B503</f>
        <v>3793.1240155356795</v>
      </c>
      <c r="C140" s="256">
        <f>[1]EU27!C503</f>
        <v>1.5898851968761604E-2</v>
      </c>
      <c r="D140" s="261">
        <v>100</v>
      </c>
    </row>
    <row r="141" spans="1:4" x14ac:dyDescent="0.35">
      <c r="A141" s="251" t="s">
        <v>454</v>
      </c>
      <c r="B141" s="261">
        <f t="shared" ref="B141:B143" si="3">8760*0.9</f>
        <v>7884</v>
      </c>
      <c r="C141" s="256">
        <f>[1]EU27!C504</f>
        <v>2.2268660400972043E-2</v>
      </c>
      <c r="D141" s="261">
        <v>25</v>
      </c>
    </row>
    <row r="142" spans="1:4" x14ac:dyDescent="0.35">
      <c r="A142" s="251" t="s">
        <v>467</v>
      </c>
      <c r="B142" s="261">
        <f t="shared" si="3"/>
        <v>7884</v>
      </c>
      <c r="C142" s="256">
        <f>[1]EU27!C505</f>
        <v>2.2268660400972043E-2</v>
      </c>
      <c r="D142" s="261">
        <v>25</v>
      </c>
    </row>
    <row r="143" spans="1:4" x14ac:dyDescent="0.35">
      <c r="A143" s="251" t="s">
        <v>458</v>
      </c>
      <c r="B143" s="261">
        <f t="shared" si="3"/>
        <v>7884</v>
      </c>
      <c r="C143" s="256">
        <f>[1]EU27!C506</f>
        <v>7.6517970764594908E-3</v>
      </c>
      <c r="D143" s="261">
        <v>100</v>
      </c>
    </row>
    <row r="144" spans="1:4" x14ac:dyDescent="0.35">
      <c r="A144" s="251" t="s">
        <v>459</v>
      </c>
      <c r="B144" s="261">
        <f>[1]EU27!B507</f>
        <v>2107.497758280615</v>
      </c>
      <c r="C144" s="256">
        <f>[1]EU27!C507</f>
        <v>1.5379854629415024E-3</v>
      </c>
      <c r="D144" s="261">
        <v>25</v>
      </c>
    </row>
    <row r="145" spans="1:4" x14ac:dyDescent="0.35">
      <c r="A145" s="251" t="s">
        <v>460</v>
      </c>
      <c r="B145" s="294">
        <f>[1]EU27!B508</f>
        <v>2608.198801995416</v>
      </c>
      <c r="C145" s="256">
        <f>[1]EU27!C508</f>
        <v>0.83770491803278679</v>
      </c>
      <c r="D145" s="261">
        <v>25</v>
      </c>
    </row>
    <row r="146" spans="1:4" x14ac:dyDescent="0.35">
      <c r="A146" s="251" t="s">
        <v>462</v>
      </c>
      <c r="B146" s="294">
        <f>[1]EU27!B509</f>
        <v>1080.6087129473817</v>
      </c>
      <c r="C146" s="256">
        <f>[1]EU27!C509</f>
        <v>0.52027951642487902</v>
      </c>
      <c r="D146" s="261">
        <v>30</v>
      </c>
    </row>
    <row r="147" spans="1:4" x14ac:dyDescent="0.35">
      <c r="A147" s="251" t="s">
        <v>461</v>
      </c>
      <c r="B147" s="294">
        <f>[1]EU27!B510</f>
        <v>1080.6087129473817</v>
      </c>
      <c r="C147" s="256">
        <f>[1]EU27!C510</f>
        <v>0.52027951642487902</v>
      </c>
      <c r="D147" s="261">
        <v>30</v>
      </c>
    </row>
    <row r="148" spans="1:4" x14ac:dyDescent="0.35">
      <c r="A148" s="251" t="s">
        <v>606</v>
      </c>
      <c r="B148" s="261">
        <f t="shared" ref="B148:B151" si="4">8760*0.9</f>
        <v>7884</v>
      </c>
      <c r="C148" s="256">
        <f>[1]EU27!C511</f>
        <v>1.9392258320443133E-2</v>
      </c>
      <c r="D148" s="261">
        <v>25</v>
      </c>
    </row>
    <row r="149" spans="1:4" x14ac:dyDescent="0.35">
      <c r="A149" s="251" t="s">
        <v>607</v>
      </c>
      <c r="B149" s="261">
        <f t="shared" si="4"/>
        <v>7884</v>
      </c>
      <c r="C149" s="256">
        <f>[1]EU27!C512</f>
        <v>1.9392258320443133E-2</v>
      </c>
      <c r="D149" s="261">
        <v>25</v>
      </c>
    </row>
    <row r="150" spans="1:4" x14ac:dyDescent="0.35">
      <c r="A150" s="251" t="s">
        <v>455</v>
      </c>
      <c r="B150" s="261">
        <f t="shared" si="4"/>
        <v>7884</v>
      </c>
      <c r="C150" s="256">
        <f>[1]EU27!C513</f>
        <v>0.10596782612670605</v>
      </c>
      <c r="D150" s="261">
        <v>25</v>
      </c>
    </row>
    <row r="151" spans="1:4" x14ac:dyDescent="0.35">
      <c r="A151" s="251" t="s">
        <v>468</v>
      </c>
      <c r="B151" s="261">
        <f t="shared" si="4"/>
        <v>7884</v>
      </c>
      <c r="C151" s="256">
        <f>[1]EU27!C514</f>
        <v>0.10596782612670605</v>
      </c>
      <c r="D151" s="261">
        <v>25</v>
      </c>
    </row>
    <row r="152" spans="1:4" x14ac:dyDescent="0.35">
      <c r="A152" s="251" t="s">
        <v>465</v>
      </c>
      <c r="B152" s="294">
        <f>[1]EU27!B515</f>
        <v>2132.037202362374</v>
      </c>
      <c r="C152" s="256">
        <f>[1]EU27!C515</f>
        <v>9.3786973448175603E-2</v>
      </c>
      <c r="D152" s="261">
        <v>30</v>
      </c>
    </row>
    <row r="153" spans="1:4" x14ac:dyDescent="0.35">
      <c r="A153" s="251" t="s">
        <v>464</v>
      </c>
      <c r="B153" s="294">
        <f>[1]EU27!B516</f>
        <v>2132.037202362374</v>
      </c>
      <c r="C153" s="256">
        <f>[1]EU27!C516</f>
        <v>0.26371592565113777</v>
      </c>
      <c r="D153" s="261">
        <v>30</v>
      </c>
    </row>
    <row r="154" spans="1:4" x14ac:dyDescent="0.35">
      <c r="A154" s="251" t="s">
        <v>608</v>
      </c>
      <c r="B154" s="260">
        <v>8760</v>
      </c>
      <c r="C154" s="247">
        <v>1</v>
      </c>
      <c r="D154" s="247">
        <v>1000000</v>
      </c>
    </row>
    <row r="155" spans="1:4" x14ac:dyDescent="0.35">
      <c r="A155" s="251" t="s">
        <v>609</v>
      </c>
      <c r="B155" s="260">
        <v>8760</v>
      </c>
      <c r="C155" s="247">
        <v>1</v>
      </c>
      <c r="D155" s="247">
        <v>1000000</v>
      </c>
    </row>
    <row r="156" spans="1:4" x14ac:dyDescent="0.35">
      <c r="A156" s="251" t="s">
        <v>610</v>
      </c>
      <c r="B156" s="260">
        <v>8760</v>
      </c>
      <c r="C156" s="247">
        <v>1</v>
      </c>
      <c r="D156" s="247">
        <v>1000000</v>
      </c>
    </row>
    <row r="157" spans="1:4" x14ac:dyDescent="0.35">
      <c r="A157" s="251" t="s">
        <v>611</v>
      </c>
      <c r="B157" s="260">
        <v>8760</v>
      </c>
      <c r="C157" s="247">
        <v>1</v>
      </c>
      <c r="D157" s="247">
        <v>1000000</v>
      </c>
    </row>
    <row r="158" spans="1:4" x14ac:dyDescent="0.35">
      <c r="A158" s="251" t="s">
        <v>612</v>
      </c>
      <c r="B158" s="260">
        <v>8760</v>
      </c>
      <c r="C158" s="247">
        <v>1</v>
      </c>
      <c r="D158" s="247">
        <v>1000000</v>
      </c>
    </row>
    <row r="212" spans="1:9" ht="87" customHeight="1" x14ac:dyDescent="2">
      <c r="A212" s="305" t="s">
        <v>472</v>
      </c>
      <c r="B212" s="305"/>
      <c r="C212" s="305"/>
      <c r="D212" s="305"/>
      <c r="E212" s="305"/>
      <c r="F212" s="305"/>
      <c r="G212" s="305"/>
      <c r="H212" s="305"/>
      <c r="I212" s="305"/>
    </row>
    <row r="215" spans="1:9" ht="29" x14ac:dyDescent="0.35">
      <c r="A215" s="255" t="s">
        <v>480</v>
      </c>
      <c r="B215" s="252" t="s">
        <v>479</v>
      </c>
    </row>
    <row r="216" spans="1:9" x14ac:dyDescent="0.35">
      <c r="A216" s="249" t="s">
        <v>418</v>
      </c>
      <c r="B216" s="257" t="s">
        <v>83</v>
      </c>
    </row>
    <row r="217" spans="1:9" x14ac:dyDescent="0.35">
      <c r="A217" s="251" t="s">
        <v>481</v>
      </c>
      <c r="B217" s="250">
        <v>1</v>
      </c>
      <c r="C217" t="str">
        <f>IF(NOT(SUM(B217:B218)=1),"The sum has to be 1 !","ok")</f>
        <v>ok</v>
      </c>
    </row>
    <row r="218" spans="1:9" x14ac:dyDescent="0.35">
      <c r="A218" s="251" t="s">
        <v>482</v>
      </c>
      <c r="B218" s="250">
        <f>1-scenario_switch_for_utilization_allocation_priorities_0</f>
        <v>0</v>
      </c>
    </row>
    <row r="219" spans="1:9" x14ac:dyDescent="0.35">
      <c r="A219"/>
    </row>
    <row r="220" spans="1:9" x14ac:dyDescent="0.35">
      <c r="A220" s="255" t="s">
        <v>483</v>
      </c>
      <c r="B220" s="251"/>
    </row>
    <row r="221" spans="1:9" x14ac:dyDescent="0.35">
      <c r="A221" s="83" t="s">
        <v>415</v>
      </c>
      <c r="B221" s="253" t="s">
        <v>419</v>
      </c>
      <c r="D221" t="s">
        <v>646</v>
      </c>
      <c r="E221" t="s">
        <v>655</v>
      </c>
      <c r="F221" t="s">
        <v>656</v>
      </c>
      <c r="G221" t="s">
        <v>657</v>
      </c>
    </row>
    <row r="222" spans="1:9" x14ac:dyDescent="0.35">
      <c r="A222" s="251" t="s">
        <v>498</v>
      </c>
      <c r="B222" s="250">
        <v>0.8</v>
      </c>
      <c r="D222" s="251" t="s">
        <v>498</v>
      </c>
      <c r="E222" s="30">
        <v>0.6</v>
      </c>
      <c r="F222" s="250">
        <v>0.5</v>
      </c>
      <c r="G222" s="250">
        <v>0.8</v>
      </c>
    </row>
    <row r="223" spans="1:9" x14ac:dyDescent="0.35">
      <c r="A223" s="251" t="s">
        <v>499</v>
      </c>
      <c r="B223" s="250">
        <v>0.8</v>
      </c>
      <c r="D223" s="251" t="s">
        <v>499</v>
      </c>
      <c r="E223" s="30">
        <v>0.75</v>
      </c>
      <c r="F223" s="250">
        <v>0.9</v>
      </c>
      <c r="G223" s="250">
        <v>0.8</v>
      </c>
    </row>
    <row r="224" spans="1:9" x14ac:dyDescent="0.35">
      <c r="A224" s="251" t="s">
        <v>500</v>
      </c>
      <c r="B224" s="250">
        <v>1</v>
      </c>
      <c r="D224" s="251" t="s">
        <v>500</v>
      </c>
      <c r="E224" s="30">
        <v>0.9</v>
      </c>
      <c r="F224" s="250">
        <v>1</v>
      </c>
      <c r="G224" s="250">
        <v>1</v>
      </c>
    </row>
    <row r="225" spans="1:7" x14ac:dyDescent="0.35">
      <c r="A225" s="251" t="s">
        <v>501</v>
      </c>
      <c r="B225" s="250">
        <v>0.45</v>
      </c>
      <c r="D225" s="251" t="s">
        <v>501</v>
      </c>
      <c r="E225" s="30">
        <v>0.55000000000000004</v>
      </c>
      <c r="F225" s="250">
        <v>0.5</v>
      </c>
      <c r="G225" s="250">
        <v>0.45</v>
      </c>
    </row>
    <row r="226" spans="1:7" x14ac:dyDescent="0.35">
      <c r="A226" s="251" t="s">
        <v>588</v>
      </c>
      <c r="B226" s="250">
        <v>0.45</v>
      </c>
      <c r="D226" s="251" t="s">
        <v>588</v>
      </c>
      <c r="E226" s="30">
        <v>0.75</v>
      </c>
      <c r="F226" s="250">
        <v>0.9</v>
      </c>
      <c r="G226" s="250">
        <v>0.45</v>
      </c>
    </row>
    <row r="227" spans="1:7" x14ac:dyDescent="0.35">
      <c r="A227" s="251" t="s">
        <v>580</v>
      </c>
      <c r="B227" s="250">
        <v>0.4</v>
      </c>
      <c r="D227" s="251" t="s">
        <v>580</v>
      </c>
      <c r="E227" s="30">
        <v>0.65</v>
      </c>
      <c r="F227" s="250">
        <v>0.6</v>
      </c>
      <c r="G227" s="250">
        <v>0.4</v>
      </c>
    </row>
    <row r="228" spans="1:7" x14ac:dyDescent="0.35">
      <c r="A228" s="251" t="s">
        <v>581</v>
      </c>
      <c r="B228" s="250">
        <v>0.4</v>
      </c>
      <c r="D228" s="251" t="s">
        <v>581</v>
      </c>
      <c r="E228" s="30">
        <v>0.75</v>
      </c>
      <c r="F228" s="250">
        <v>0.9</v>
      </c>
      <c r="G228" s="250">
        <v>0.4</v>
      </c>
    </row>
    <row r="229" spans="1:7" x14ac:dyDescent="0.35">
      <c r="A229" s="251" t="s">
        <v>502</v>
      </c>
      <c r="B229" s="250">
        <v>0.85</v>
      </c>
      <c r="D229" s="251" t="s">
        <v>502</v>
      </c>
      <c r="E229" s="30">
        <v>0.8</v>
      </c>
      <c r="F229" s="250">
        <v>1</v>
      </c>
      <c r="G229" s="250">
        <v>0.85</v>
      </c>
    </row>
    <row r="230" spans="1:7" x14ac:dyDescent="0.35">
      <c r="A230" s="251" t="s">
        <v>583</v>
      </c>
      <c r="B230" s="250">
        <v>0.85</v>
      </c>
      <c r="D230" s="251" t="s">
        <v>583</v>
      </c>
      <c r="E230" s="30">
        <v>0.7</v>
      </c>
      <c r="F230" s="250">
        <v>1</v>
      </c>
      <c r="G230" s="250">
        <v>0.85</v>
      </c>
    </row>
    <row r="231" spans="1:7" x14ac:dyDescent="0.35">
      <c r="A231" s="251" t="s">
        <v>589</v>
      </c>
      <c r="B231" s="250">
        <v>0.3</v>
      </c>
      <c r="D231" s="251" t="s">
        <v>589</v>
      </c>
      <c r="E231" s="30">
        <v>0.75</v>
      </c>
      <c r="F231" s="250">
        <v>0.5</v>
      </c>
      <c r="G231" s="250">
        <v>0.3</v>
      </c>
    </row>
    <row r="232" spans="1:7" x14ac:dyDescent="0.35">
      <c r="A232" s="251" t="s">
        <v>503</v>
      </c>
      <c r="B232" s="250">
        <v>0.3</v>
      </c>
      <c r="D232" s="251" t="s">
        <v>503</v>
      </c>
      <c r="E232" s="30">
        <v>0.6</v>
      </c>
      <c r="F232" s="250">
        <v>0.9</v>
      </c>
      <c r="G232" s="250">
        <v>0.3</v>
      </c>
    </row>
    <row r="233" spans="1:7" x14ac:dyDescent="0.35">
      <c r="A233" s="251" t="s">
        <v>582</v>
      </c>
      <c r="B233" s="250">
        <v>0.6</v>
      </c>
      <c r="D233" s="251" t="s">
        <v>582</v>
      </c>
      <c r="E233" s="30">
        <v>0.7</v>
      </c>
      <c r="F233" s="250">
        <v>1</v>
      </c>
      <c r="G233" s="250">
        <v>0.6</v>
      </c>
    </row>
    <row r="234" spans="1:7" x14ac:dyDescent="0.35">
      <c r="A234" s="251" t="s">
        <v>504</v>
      </c>
      <c r="B234" s="250">
        <v>0.05</v>
      </c>
      <c r="D234" s="251" t="s">
        <v>504</v>
      </c>
      <c r="E234" s="30">
        <v>0.9</v>
      </c>
      <c r="F234" s="250">
        <v>0.5</v>
      </c>
      <c r="G234" s="250">
        <v>0.05</v>
      </c>
    </row>
    <row r="235" spans="1:7" x14ac:dyDescent="0.35">
      <c r="A235" s="251" t="s">
        <v>505</v>
      </c>
      <c r="B235" s="250">
        <v>0.05</v>
      </c>
      <c r="D235" s="251" t="s">
        <v>505</v>
      </c>
      <c r="E235" s="30">
        <v>0.55000000000000004</v>
      </c>
      <c r="F235" s="250">
        <v>0.9</v>
      </c>
      <c r="G235" s="250">
        <v>0.05</v>
      </c>
    </row>
    <row r="236" spans="1:7" x14ac:dyDescent="0.35">
      <c r="A236" s="251" t="s">
        <v>506</v>
      </c>
      <c r="B236" s="250">
        <v>1</v>
      </c>
      <c r="D236" s="251" t="s">
        <v>506</v>
      </c>
      <c r="E236" s="30">
        <v>1</v>
      </c>
      <c r="F236" s="250">
        <v>1</v>
      </c>
      <c r="G236" s="250">
        <v>1</v>
      </c>
    </row>
    <row r="237" spans="1:7" x14ac:dyDescent="0.35">
      <c r="A237" s="251" t="s">
        <v>587</v>
      </c>
      <c r="B237" s="250">
        <v>0.1</v>
      </c>
      <c r="D237" s="251" t="s">
        <v>587</v>
      </c>
      <c r="E237" s="30">
        <v>0.65</v>
      </c>
      <c r="F237" s="250">
        <v>0.5</v>
      </c>
      <c r="G237" s="250">
        <v>0.1</v>
      </c>
    </row>
    <row r="238" spans="1:7" x14ac:dyDescent="0.35">
      <c r="A238" s="251" t="s">
        <v>507</v>
      </c>
      <c r="B238" s="250">
        <v>0.1</v>
      </c>
      <c r="D238" s="251" t="s">
        <v>507</v>
      </c>
      <c r="E238" s="30">
        <v>0.8</v>
      </c>
      <c r="F238" s="250">
        <v>0.9</v>
      </c>
      <c r="G238" s="250">
        <v>0.1</v>
      </c>
    </row>
    <row r="239" spans="1:7" x14ac:dyDescent="0.35">
      <c r="A239" s="251" t="s">
        <v>584</v>
      </c>
      <c r="B239" s="250">
        <v>0.9</v>
      </c>
      <c r="D239" s="251" t="s">
        <v>584</v>
      </c>
      <c r="E239" s="30">
        <v>0.7</v>
      </c>
      <c r="F239" s="250">
        <v>1</v>
      </c>
      <c r="G239" s="250">
        <v>0.9</v>
      </c>
    </row>
    <row r="240" spans="1:7" x14ac:dyDescent="0.35">
      <c r="A240" s="251" t="s">
        <v>590</v>
      </c>
      <c r="B240" s="250">
        <v>0.9</v>
      </c>
      <c r="D240" s="251" t="s">
        <v>590</v>
      </c>
      <c r="E240" s="30">
        <v>0.75</v>
      </c>
      <c r="F240" s="250">
        <v>1</v>
      </c>
      <c r="G240" s="250">
        <v>0.9</v>
      </c>
    </row>
    <row r="241" spans="1:7" x14ac:dyDescent="0.35">
      <c r="A241" s="251" t="s">
        <v>508</v>
      </c>
      <c r="B241" s="250">
        <v>0.25</v>
      </c>
      <c r="D241" s="251" t="s">
        <v>508</v>
      </c>
      <c r="E241" s="30">
        <v>0.6</v>
      </c>
      <c r="F241" s="250">
        <v>0.6</v>
      </c>
      <c r="G241" s="250">
        <v>0.25</v>
      </c>
    </row>
    <row r="242" spans="1:7" x14ac:dyDescent="0.35">
      <c r="A242" s="251" t="s">
        <v>509</v>
      </c>
      <c r="B242" s="250">
        <v>0.25</v>
      </c>
      <c r="D242" s="251" t="s">
        <v>509</v>
      </c>
      <c r="E242" s="30">
        <v>0.75</v>
      </c>
      <c r="F242" s="250">
        <v>0.9</v>
      </c>
      <c r="G242" s="250">
        <v>0.25</v>
      </c>
    </row>
    <row r="243" spans="1:7" x14ac:dyDescent="0.35">
      <c r="A243" s="251" t="s">
        <v>510</v>
      </c>
      <c r="B243" s="250">
        <v>0.1</v>
      </c>
      <c r="D243" s="251" t="s">
        <v>510</v>
      </c>
      <c r="E243" s="30">
        <v>0.9</v>
      </c>
      <c r="F243" s="250">
        <v>1</v>
      </c>
      <c r="G243" s="250">
        <v>0.1</v>
      </c>
    </row>
    <row r="244" spans="1:7" x14ac:dyDescent="0.35">
      <c r="A244" s="251" t="s">
        <v>511</v>
      </c>
      <c r="B244" s="250">
        <v>1</v>
      </c>
      <c r="D244" s="251" t="s">
        <v>511</v>
      </c>
      <c r="E244" s="30">
        <v>1</v>
      </c>
      <c r="F244" s="250">
        <v>1</v>
      </c>
      <c r="G244" s="250">
        <v>1</v>
      </c>
    </row>
    <row r="245" spans="1:7" x14ac:dyDescent="0.35">
      <c r="A245" s="251" t="s">
        <v>512</v>
      </c>
      <c r="B245" s="250">
        <v>1</v>
      </c>
      <c r="D245" s="251" t="s">
        <v>512</v>
      </c>
      <c r="E245" s="30">
        <v>1</v>
      </c>
      <c r="F245" s="250">
        <v>1</v>
      </c>
      <c r="G245" s="250">
        <v>1</v>
      </c>
    </row>
    <row r="246" spans="1:7" x14ac:dyDescent="0.35">
      <c r="A246" s="251" t="s">
        <v>513</v>
      </c>
      <c r="B246" s="250">
        <v>0.1</v>
      </c>
      <c r="D246" s="251" t="s">
        <v>513</v>
      </c>
      <c r="E246" s="30">
        <v>0.55000000000000004</v>
      </c>
      <c r="F246" s="250">
        <v>0.55000000000000004</v>
      </c>
      <c r="G246" s="250">
        <v>0.1</v>
      </c>
    </row>
    <row r="247" spans="1:7" x14ac:dyDescent="0.35">
      <c r="A247" s="251" t="s">
        <v>514</v>
      </c>
      <c r="B247" s="250">
        <v>0.1</v>
      </c>
      <c r="D247" s="251" t="s">
        <v>514</v>
      </c>
      <c r="E247" s="30">
        <v>0.75</v>
      </c>
      <c r="F247" s="250">
        <v>0.9</v>
      </c>
      <c r="G247" s="250">
        <v>0.1</v>
      </c>
    </row>
    <row r="248" spans="1:7" x14ac:dyDescent="0.35">
      <c r="A248" s="251" t="s">
        <v>515</v>
      </c>
      <c r="B248" s="250">
        <v>0.1</v>
      </c>
      <c r="D248" s="251" t="s">
        <v>515</v>
      </c>
      <c r="E248" s="30">
        <v>0.85</v>
      </c>
      <c r="F248" s="250">
        <v>0.8</v>
      </c>
      <c r="G248" s="250">
        <v>0.1</v>
      </c>
    </row>
    <row r="249" spans="1:7" x14ac:dyDescent="0.35">
      <c r="A249" s="251" t="s">
        <v>516</v>
      </c>
      <c r="B249" s="250">
        <v>0.05</v>
      </c>
      <c r="D249" s="251" t="s">
        <v>516</v>
      </c>
      <c r="E249" s="30">
        <v>0.9</v>
      </c>
      <c r="F249" s="250">
        <v>1</v>
      </c>
      <c r="G249" s="250">
        <v>0.05</v>
      </c>
    </row>
    <row r="250" spans="1:7" x14ac:dyDescent="0.35">
      <c r="A250" s="251" t="s">
        <v>517</v>
      </c>
      <c r="B250" s="250">
        <v>1</v>
      </c>
      <c r="D250" s="251" t="s">
        <v>517</v>
      </c>
      <c r="E250" s="30">
        <v>0.95</v>
      </c>
      <c r="F250" s="250">
        <v>1</v>
      </c>
      <c r="G250" s="250">
        <v>1</v>
      </c>
    </row>
    <row r="251" spans="1:7" x14ac:dyDescent="0.35">
      <c r="A251" s="251" t="s">
        <v>644</v>
      </c>
      <c r="B251" s="250">
        <v>1</v>
      </c>
      <c r="D251" s="251" t="s">
        <v>644</v>
      </c>
      <c r="E251" s="30">
        <v>1</v>
      </c>
      <c r="F251" s="250">
        <v>1</v>
      </c>
      <c r="G251" s="250">
        <v>1</v>
      </c>
    </row>
    <row r="252" spans="1:7" x14ac:dyDescent="0.35">
      <c r="A252" s="251" t="s">
        <v>518</v>
      </c>
      <c r="B252" s="250">
        <v>1</v>
      </c>
      <c r="D252" s="251" t="s">
        <v>518</v>
      </c>
      <c r="E252" s="30">
        <v>1</v>
      </c>
      <c r="F252" s="250">
        <v>1</v>
      </c>
      <c r="G252" s="250">
        <v>1</v>
      </c>
    </row>
    <row r="253" spans="1:7" x14ac:dyDescent="0.35">
      <c r="A253" s="251" t="s">
        <v>585</v>
      </c>
      <c r="B253" s="250">
        <v>0.1</v>
      </c>
      <c r="D253" s="251" t="s">
        <v>585</v>
      </c>
      <c r="E253" s="30">
        <v>0.65</v>
      </c>
      <c r="F253" s="250">
        <v>0.65</v>
      </c>
      <c r="G253" s="250">
        <v>0.1</v>
      </c>
    </row>
    <row r="254" spans="1:7" x14ac:dyDescent="0.35">
      <c r="A254" s="251" t="s">
        <v>586</v>
      </c>
      <c r="B254" s="250">
        <v>0.1</v>
      </c>
      <c r="D254" s="251" t="s">
        <v>586</v>
      </c>
      <c r="E254" s="30">
        <v>0.75</v>
      </c>
      <c r="F254" s="250">
        <v>0.9</v>
      </c>
      <c r="G254" s="250">
        <v>0.1</v>
      </c>
    </row>
    <row r="255" spans="1:7" x14ac:dyDescent="0.35">
      <c r="A255" s="251" t="s">
        <v>519</v>
      </c>
      <c r="B255" s="250">
        <v>0.1</v>
      </c>
      <c r="D255" s="251" t="s">
        <v>519</v>
      </c>
      <c r="E255" s="30">
        <v>0.8</v>
      </c>
      <c r="F255" s="250">
        <v>0.9</v>
      </c>
      <c r="G255" s="250">
        <v>0.1</v>
      </c>
    </row>
    <row r="256" spans="1:7" x14ac:dyDescent="0.35">
      <c r="A256" s="251" t="s">
        <v>520</v>
      </c>
      <c r="B256" s="250">
        <v>0.1</v>
      </c>
      <c r="D256" s="251" t="s">
        <v>520</v>
      </c>
      <c r="E256" s="30">
        <v>0.8</v>
      </c>
      <c r="F256" s="250">
        <v>1</v>
      </c>
      <c r="G256" s="250">
        <v>0.1</v>
      </c>
    </row>
    <row r="257" spans="1:7" x14ac:dyDescent="0.35">
      <c r="A257" s="251" t="s">
        <v>521</v>
      </c>
      <c r="B257" s="250">
        <v>1</v>
      </c>
      <c r="D257" s="251" t="s">
        <v>521</v>
      </c>
      <c r="E257" s="30">
        <v>0.95</v>
      </c>
      <c r="F257" s="250">
        <v>1</v>
      </c>
      <c r="G257" s="250">
        <v>1</v>
      </c>
    </row>
    <row r="258" spans="1:7" x14ac:dyDescent="0.35">
      <c r="A258" s="251" t="s">
        <v>522</v>
      </c>
      <c r="B258" s="250">
        <v>1</v>
      </c>
      <c r="D258" s="251" t="s">
        <v>522</v>
      </c>
      <c r="E258" s="30">
        <v>1</v>
      </c>
      <c r="F258" s="250">
        <v>1</v>
      </c>
      <c r="G258" s="250">
        <v>1</v>
      </c>
    </row>
    <row r="259" spans="1:7" x14ac:dyDescent="0.35">
      <c r="A259" s="251" t="s">
        <v>523</v>
      </c>
      <c r="B259" s="250">
        <v>1</v>
      </c>
      <c r="D259" s="251" t="s">
        <v>523</v>
      </c>
      <c r="E259" s="30">
        <v>1</v>
      </c>
      <c r="F259" s="250">
        <v>1</v>
      </c>
      <c r="G259" s="250">
        <v>1</v>
      </c>
    </row>
    <row r="260" spans="1:7" x14ac:dyDescent="0.35">
      <c r="A260" s="251" t="s">
        <v>591</v>
      </c>
      <c r="B260" s="250">
        <v>1</v>
      </c>
      <c r="D260" s="251" t="s">
        <v>591</v>
      </c>
      <c r="E260" s="30">
        <v>1</v>
      </c>
      <c r="F260" s="250">
        <v>1</v>
      </c>
      <c r="G260" s="250">
        <v>1</v>
      </c>
    </row>
    <row r="261" spans="1:7" x14ac:dyDescent="0.35">
      <c r="A261" s="251" t="s">
        <v>524</v>
      </c>
      <c r="B261" s="250">
        <v>1</v>
      </c>
      <c r="D261" s="251" t="s">
        <v>524</v>
      </c>
      <c r="E261" s="30">
        <v>1</v>
      </c>
      <c r="F261" s="250">
        <v>1</v>
      </c>
      <c r="G261" s="250">
        <v>1</v>
      </c>
    </row>
    <row r="262" spans="1:7" x14ac:dyDescent="0.35">
      <c r="A262" s="251" t="s">
        <v>525</v>
      </c>
      <c r="B262" s="250">
        <v>1</v>
      </c>
      <c r="D262" s="251" t="s">
        <v>525</v>
      </c>
      <c r="E262" s="30">
        <v>1</v>
      </c>
      <c r="F262" s="250">
        <v>1</v>
      </c>
      <c r="G262" s="250">
        <v>1</v>
      </c>
    </row>
    <row r="263" spans="1:7" x14ac:dyDescent="0.35">
      <c r="A263" s="251" t="s">
        <v>526</v>
      </c>
      <c r="B263" s="250">
        <v>1</v>
      </c>
      <c r="D263" s="251" t="s">
        <v>526</v>
      </c>
      <c r="E263" s="30">
        <v>1</v>
      </c>
      <c r="F263" s="250">
        <v>1</v>
      </c>
      <c r="G263" s="250">
        <v>1</v>
      </c>
    </row>
    <row r="268" spans="1:7" x14ac:dyDescent="0.35">
      <c r="C268" t="s">
        <v>654</v>
      </c>
    </row>
    <row r="269" spans="1:7" x14ac:dyDescent="0.35">
      <c r="C269" t="s">
        <v>653</v>
      </c>
    </row>
    <row r="270" spans="1:7" x14ac:dyDescent="0.35">
      <c r="C270" t="s">
        <v>647</v>
      </c>
    </row>
    <row r="271" spans="1:7" x14ac:dyDescent="0.35">
      <c r="C271" t="s">
        <v>648</v>
      </c>
    </row>
    <row r="272" spans="1:7" x14ac:dyDescent="0.35">
      <c r="C272" t="s">
        <v>649</v>
      </c>
    </row>
    <row r="273" spans="3:3" x14ac:dyDescent="0.35">
      <c r="C273" t="s">
        <v>650</v>
      </c>
    </row>
    <row r="274" spans="3:3" x14ac:dyDescent="0.35">
      <c r="C274" t="s">
        <v>651</v>
      </c>
    </row>
    <row r="275" spans="3:3" x14ac:dyDescent="0.35">
      <c r="C275" t="s">
        <v>652</v>
      </c>
    </row>
  </sheetData>
  <mergeCells count="3">
    <mergeCell ref="A212:I212"/>
    <mergeCell ref="A105:I105"/>
    <mergeCell ref="A3:I3"/>
  </mergeCells>
  <dataValidations disablePrompts="1" count="1">
    <dataValidation type="decimal" allowBlank="1" showInputMessage="1" showErrorMessage="1" sqref="B217:B219" xr:uid="{00000000-0002-0000-0200-000000000000}">
      <formula1>0</formula1>
      <formula2>1</formula2>
    </dataValidation>
  </dataValidations>
  <pageMargins left="0.7" right="0.7" top="0.78740157499999996" bottom="0.78740157499999996"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gion3"/>
  <dimension ref="A3:P158"/>
  <sheetViews>
    <sheetView topLeftCell="A115" zoomScale="70" zoomScaleNormal="70" workbookViewId="0">
      <selection activeCell="B138" sqref="B138"/>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5" t="s">
        <v>550</v>
      </c>
      <c r="B3" s="305"/>
      <c r="C3" s="305"/>
      <c r="D3" s="305"/>
      <c r="E3" s="305"/>
      <c r="F3" s="305"/>
      <c r="G3" s="305"/>
      <c r="H3" s="305"/>
      <c r="I3" s="305"/>
    </row>
    <row r="5" spans="1:9" ht="29" x14ac:dyDescent="0.35">
      <c r="A5" s="255" t="s">
        <v>385</v>
      </c>
      <c r="B5" s="265" t="s">
        <v>493</v>
      </c>
    </row>
    <row r="6" spans="1:9" x14ac:dyDescent="0.35">
      <c r="A6" s="248" t="s">
        <v>423</v>
      </c>
      <c r="B6" s="266" t="s">
        <v>419</v>
      </c>
    </row>
    <row r="7" spans="1:9" x14ac:dyDescent="0.35">
      <c r="A7" s="251" t="s">
        <v>490</v>
      </c>
      <c r="B7" s="256">
        <v>7.318601204792366E-2</v>
      </c>
    </row>
    <row r="8" spans="1:9" x14ac:dyDescent="0.35">
      <c r="A8" s="251" t="s">
        <v>491</v>
      </c>
      <c r="B8" s="256">
        <v>6.7364013209242745E-3</v>
      </c>
    </row>
    <row r="9" spans="1:9" x14ac:dyDescent="0.35">
      <c r="A9" s="251" t="s">
        <v>492</v>
      </c>
      <c r="B9" s="256">
        <v>0.11765844082375487</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8.3739952905235504E-2</v>
      </c>
    </row>
    <row r="20" spans="1:16" x14ac:dyDescent="0.35">
      <c r="A20" s="251" t="s">
        <v>487</v>
      </c>
      <c r="B20" s="250">
        <v>0</v>
      </c>
    </row>
    <row r="21" spans="1:16" x14ac:dyDescent="0.35">
      <c r="A21" s="251" t="s">
        <v>488</v>
      </c>
      <c r="B21" s="250">
        <v>9.0877244311694333E-2</v>
      </c>
    </row>
    <row r="22" spans="1:16" x14ac:dyDescent="0.35">
      <c r="A22" s="251" t="s">
        <v>489</v>
      </c>
      <c r="B22" s="250">
        <v>6.7984395783760601E-2</v>
      </c>
    </row>
    <row r="23" spans="1:16" x14ac:dyDescent="0.35">
      <c r="A23" s="251" t="s">
        <v>579</v>
      </c>
      <c r="B23" s="250">
        <v>0.16735252433105693</v>
      </c>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645</v>
      </c>
    </row>
    <row r="28" spans="1:16" x14ac:dyDescent="0.35">
      <c r="A28" s="251" t="s">
        <v>498</v>
      </c>
      <c r="B28" s="285">
        <v>0.10908565885789195</v>
      </c>
      <c r="C28" s="250">
        <v>0.8909143411421081</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0.10908565885789195</v>
      </c>
      <c r="C29" s="250">
        <v>0.8909143411421081</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7.1468025957376349E-2</v>
      </c>
      <c r="H31" s="250">
        <v>0.92853197404262366</v>
      </c>
      <c r="I31" s="247">
        <v>0</v>
      </c>
      <c r="J31" s="247">
        <v>0</v>
      </c>
      <c r="K31" s="247">
        <v>0</v>
      </c>
      <c r="L31" s="247">
        <v>0</v>
      </c>
      <c r="M31" s="247">
        <v>0</v>
      </c>
      <c r="N31" s="247">
        <v>0</v>
      </c>
      <c r="O31" s="247">
        <v>0</v>
      </c>
      <c r="P31" s="246">
        <f t="shared" si="0"/>
        <v>1</v>
      </c>
    </row>
    <row r="32" spans="1:16" x14ac:dyDescent="0.35">
      <c r="A32" s="251" t="s">
        <v>588</v>
      </c>
      <c r="B32" s="247">
        <v>0</v>
      </c>
      <c r="C32" s="247">
        <v>0</v>
      </c>
      <c r="D32" s="247">
        <v>0</v>
      </c>
      <c r="E32" s="247">
        <v>0</v>
      </c>
      <c r="F32" s="247">
        <v>0</v>
      </c>
      <c r="G32" s="285">
        <v>7.1468025957376349E-2</v>
      </c>
      <c r="H32" s="250">
        <v>0.92853197404262366</v>
      </c>
      <c r="I32" s="247">
        <v>0</v>
      </c>
      <c r="J32" s="247">
        <v>0</v>
      </c>
      <c r="K32" s="247">
        <v>0</v>
      </c>
      <c r="L32" s="247">
        <v>0</v>
      </c>
      <c r="M32" s="247">
        <v>0</v>
      </c>
      <c r="N32" s="247">
        <v>0</v>
      </c>
      <c r="O32" s="247">
        <v>0</v>
      </c>
      <c r="P32" s="246">
        <f t="shared" si="0"/>
        <v>1</v>
      </c>
    </row>
    <row r="33" spans="1:16" x14ac:dyDescent="0.35">
      <c r="A33" s="251" t="s">
        <v>580</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581</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583</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589</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5.0256601395884375E-3</v>
      </c>
      <c r="C38" s="250">
        <v>0.99497433986041162</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582</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0.10159695890461606</v>
      </c>
      <c r="H41" s="250">
        <v>0.89840304109538394</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587</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584</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590</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0.11065161637897908</v>
      </c>
      <c r="C47" s="250">
        <v>0.88934838362102098</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0.11065161637897908</v>
      </c>
      <c r="C48" s="250">
        <v>0.88934838362102098</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7.9502762001916402E-2</v>
      </c>
      <c r="H52" s="250">
        <v>0.92049723799808358</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7.9502762001916402E-2</v>
      </c>
      <c r="H53" s="250">
        <v>0.92049723799808358</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644</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585</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586</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6.4914967387391647E-3</v>
      </c>
      <c r="C65" s="250">
        <v>0.99350850326126083</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591</v>
      </c>
      <c r="B66" s="247">
        <v>0</v>
      </c>
      <c r="C66" s="247">
        <v>0</v>
      </c>
      <c r="D66" s="247">
        <v>0</v>
      </c>
      <c r="E66" s="247">
        <v>0</v>
      </c>
      <c r="F66" s="247">
        <v>0</v>
      </c>
      <c r="G66" s="285">
        <v>0</v>
      </c>
      <c r="H66" s="250">
        <v>1</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[2]EXPORT_PROREF_ouput_share!$AE$27</f>
        <v>7.2408952630044848E-2</v>
      </c>
      <c r="D74" s="256">
        <f>[2]EXPORT_PROREF_ouput_share!$AE$28</f>
        <v>0.21558637696080568</v>
      </c>
      <c r="E74" s="247">
        <v>0</v>
      </c>
      <c r="F74" s="247">
        <v>0</v>
      </c>
      <c r="G74" s="256">
        <f>[2]EXPORT_PROREF_ouput_share!$AE$29</f>
        <v>0.71200467040914939</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0</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0.01</v>
      </c>
      <c r="C83" s="247">
        <v>0</v>
      </c>
      <c r="D83" s="247">
        <v>0</v>
      </c>
      <c r="E83" s="247">
        <v>0</v>
      </c>
      <c r="F83" s="256">
        <v>0.99</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[3]EXPORT_PROCESS_TRANSFORMATION!AD43</f>
        <v>0.75063004297886982</v>
      </c>
      <c r="F91" s="141"/>
    </row>
    <row r="92" spans="1:15" x14ac:dyDescent="0.35">
      <c r="A92" s="251" t="s">
        <v>530</v>
      </c>
      <c r="B92" s="250">
        <f>[3]EXPORT_PROCESS_TRANSFORMATION!AD44</f>
        <v>0.99403040827498446</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5" t="s">
        <v>546</v>
      </c>
      <c r="B105" s="305"/>
      <c r="C105" s="305"/>
      <c r="D105" s="305"/>
      <c r="E105" s="305"/>
      <c r="F105" s="305"/>
      <c r="G105" s="305"/>
      <c r="H105" s="305"/>
      <c r="I105" s="305"/>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659</v>
      </c>
    </row>
    <row r="116" spans="1:4" x14ac:dyDescent="0.35">
      <c r="A116" s="83" t="s">
        <v>421</v>
      </c>
      <c r="B116" s="259" t="s">
        <v>547</v>
      </c>
      <c r="C116" s="253" t="s">
        <v>419</v>
      </c>
      <c r="D116" s="253" t="s">
        <v>226</v>
      </c>
    </row>
    <row r="117" spans="1:4" x14ac:dyDescent="0.35">
      <c r="A117" s="251" t="s">
        <v>448</v>
      </c>
      <c r="B117" s="261">
        <f>[1]EU27!B480</f>
        <v>4590.9629013034546</v>
      </c>
      <c r="C117" s="256">
        <f>[1]EU27!C480</f>
        <v>6.2638890322837842E-2</v>
      </c>
      <c r="D117" s="261">
        <v>25</v>
      </c>
    </row>
    <row r="118" spans="1:4" x14ac:dyDescent="0.35">
      <c r="A118" s="251" t="s">
        <v>452</v>
      </c>
      <c r="B118" s="261">
        <f>[1]EU27!B481</f>
        <v>4590.9629013034546</v>
      </c>
      <c r="C118" s="256">
        <f>[1]EU27!C481</f>
        <v>6.2638890322837842E-2</v>
      </c>
      <c r="D118" s="261">
        <v>25</v>
      </c>
    </row>
    <row r="119" spans="1:4" x14ac:dyDescent="0.35">
      <c r="A119" s="251" t="s">
        <v>449</v>
      </c>
      <c r="B119" s="261">
        <f>[1]EU27!B482</f>
        <v>7246.20589417479</v>
      </c>
      <c r="C119" s="256">
        <f>[1]EU27!C482</f>
        <v>0.24399920288592691</v>
      </c>
      <c r="D119" s="261">
        <v>25</v>
      </c>
    </row>
    <row r="120" spans="1:4" x14ac:dyDescent="0.35">
      <c r="A120" s="251" t="s">
        <v>451</v>
      </c>
      <c r="B120" s="261">
        <f>[1]EU27!B483</f>
        <v>3491.5272463147139</v>
      </c>
      <c r="C120" s="256">
        <f>[1]EU27!C483</f>
        <v>1.1385152217448288E-2</v>
      </c>
      <c r="D120" s="261">
        <v>25</v>
      </c>
    </row>
    <row r="121" spans="1:4" x14ac:dyDescent="0.35">
      <c r="A121" s="251" t="s">
        <v>592</v>
      </c>
      <c r="B121" s="261">
        <f>[1]EU27!B484</f>
        <v>3491.5272463147139</v>
      </c>
      <c r="C121" s="256">
        <f>[1]EU27!C484</f>
        <v>1.1385152217448288E-2</v>
      </c>
      <c r="D121" s="261">
        <v>25</v>
      </c>
    </row>
    <row r="122" spans="1:4" x14ac:dyDescent="0.35">
      <c r="A122" s="251" t="s">
        <v>593</v>
      </c>
      <c r="B122" s="261">
        <f>[1]EU27!B485</f>
        <v>4379.4085736103971</v>
      </c>
      <c r="C122" s="256">
        <f>[1]EU27!C485</f>
        <v>1.5171112258819539E-2</v>
      </c>
      <c r="D122" s="261">
        <v>25</v>
      </c>
    </row>
    <row r="123" spans="1:4" x14ac:dyDescent="0.35">
      <c r="A123" s="251" t="s">
        <v>594</v>
      </c>
      <c r="B123" s="261">
        <f>[1]EU27!B486</f>
        <v>4379.4085736103971</v>
      </c>
      <c r="C123" s="256">
        <f>[1]EU27!C486</f>
        <v>1.5171112258819539E-2</v>
      </c>
      <c r="D123" s="261">
        <v>25</v>
      </c>
    </row>
    <row r="124" spans="1:4" x14ac:dyDescent="0.35">
      <c r="A124" s="251" t="s">
        <v>450</v>
      </c>
      <c r="B124" s="261">
        <f>[1]EU27!B487</f>
        <v>4794.9787473571178</v>
      </c>
      <c r="C124" s="256">
        <f>[1]EU27!C487</f>
        <v>8.922177747532227E-2</v>
      </c>
      <c r="D124" s="261">
        <v>25</v>
      </c>
    </row>
    <row r="125" spans="1:4" x14ac:dyDescent="0.35">
      <c r="A125" s="251" t="s">
        <v>595</v>
      </c>
      <c r="B125" s="261">
        <f>[1]EU27!B488</f>
        <v>4379.4085736103971</v>
      </c>
      <c r="C125" s="256">
        <f>[1]EU27!C488</f>
        <v>1.5171112258819539E-2</v>
      </c>
      <c r="D125" s="261">
        <v>25</v>
      </c>
    </row>
    <row r="126" spans="1:4" x14ac:dyDescent="0.35">
      <c r="A126" s="251" t="s">
        <v>596</v>
      </c>
      <c r="B126" s="261">
        <f>[1]EU27!B489</f>
        <v>4379.4085736103971</v>
      </c>
      <c r="C126" s="256">
        <f>[1]EU27!C489</f>
        <v>1.5171112258819539E-2</v>
      </c>
      <c r="D126" s="261">
        <v>25</v>
      </c>
    </row>
    <row r="127" spans="1:4" x14ac:dyDescent="0.35">
      <c r="A127" s="251" t="s">
        <v>597</v>
      </c>
      <c r="B127" s="260">
        <f>[1]EU27!B490</f>
        <v>3066</v>
      </c>
      <c r="C127" s="247">
        <f>[1]EU27!C490</f>
        <v>0.3</v>
      </c>
      <c r="D127" s="261">
        <v>25</v>
      </c>
    </row>
    <row r="128" spans="1:4" x14ac:dyDescent="0.35">
      <c r="A128" s="251" t="s">
        <v>598</v>
      </c>
      <c r="B128" s="260">
        <f>[1]EU27!B491</f>
        <v>3066</v>
      </c>
      <c r="C128" s="247">
        <f>[1]EU27!C491</f>
        <v>0.3</v>
      </c>
      <c r="D128" s="261">
        <v>25</v>
      </c>
    </row>
    <row r="129" spans="1:4" x14ac:dyDescent="0.35">
      <c r="A129" s="251" t="s">
        <v>599</v>
      </c>
      <c r="B129" s="260">
        <f>[1]EU27!B492</f>
        <v>3066</v>
      </c>
      <c r="C129" s="247">
        <f>[1]EU27!C492</f>
        <v>0.3</v>
      </c>
      <c r="D129" s="261">
        <v>25</v>
      </c>
    </row>
    <row r="130" spans="1:4" x14ac:dyDescent="0.35">
      <c r="A130" s="251" t="s">
        <v>600</v>
      </c>
      <c r="B130" s="260">
        <f>[1]EU27!B493</f>
        <v>3066</v>
      </c>
      <c r="C130" s="247">
        <f>[1]EU27!C493</f>
        <v>0.3</v>
      </c>
      <c r="D130" s="261">
        <v>25</v>
      </c>
    </row>
    <row r="131" spans="1:4" x14ac:dyDescent="0.35">
      <c r="A131" s="251" t="s">
        <v>601</v>
      </c>
      <c r="B131" s="260">
        <f>[1]EU27!B494</f>
        <v>3066</v>
      </c>
      <c r="C131" s="247">
        <f>[1]EU27!C494</f>
        <v>0.3</v>
      </c>
      <c r="D131" s="261">
        <v>25</v>
      </c>
    </row>
    <row r="132" spans="1:4" x14ac:dyDescent="0.35">
      <c r="A132" s="251" t="s">
        <v>602</v>
      </c>
      <c r="B132" s="260">
        <f>[1]EU27!B495</f>
        <v>3066</v>
      </c>
      <c r="C132" s="247">
        <f>[1]EU27!C495</f>
        <v>0.3</v>
      </c>
      <c r="D132" s="261">
        <v>25</v>
      </c>
    </row>
    <row r="133" spans="1:4" x14ac:dyDescent="0.35">
      <c r="A133" s="251" t="s">
        <v>603</v>
      </c>
      <c r="B133" s="260">
        <f>[1]EU27!B496</f>
        <v>3066</v>
      </c>
      <c r="C133" s="247">
        <f>[1]EU27!C496</f>
        <v>0.3</v>
      </c>
      <c r="D133" s="261">
        <v>25</v>
      </c>
    </row>
    <row r="134" spans="1:4" x14ac:dyDescent="0.35">
      <c r="A134" s="251" t="s">
        <v>604</v>
      </c>
      <c r="B134" s="261">
        <f>[1]EU27!B497</f>
        <v>4884.5182866231526</v>
      </c>
      <c r="C134" s="256">
        <f>[1]EU27!C497</f>
        <v>1.5171112258819539E-2</v>
      </c>
      <c r="D134" s="261">
        <v>25</v>
      </c>
    </row>
    <row r="135" spans="1:4" x14ac:dyDescent="0.35">
      <c r="A135" s="251" t="s">
        <v>605</v>
      </c>
      <c r="B135" s="261">
        <f>[1]EU27!B498</f>
        <v>4884.5182866231526</v>
      </c>
      <c r="C135" s="256">
        <f>[1]EU27!C498</f>
        <v>1.5171112258819539E-2</v>
      </c>
      <c r="D135" s="261">
        <v>25</v>
      </c>
    </row>
    <row r="136" spans="1:4" x14ac:dyDescent="0.35">
      <c r="A136" s="251" t="s">
        <v>453</v>
      </c>
      <c r="B136" s="261">
        <f>[1]EU27!B499</f>
        <v>3831.3865659907642</v>
      </c>
      <c r="C136" s="256">
        <f>[1]EU27!C499</f>
        <v>9.6083410786124659E-2</v>
      </c>
      <c r="D136" s="261">
        <v>25</v>
      </c>
    </row>
    <row r="137" spans="1:4" x14ac:dyDescent="0.35">
      <c r="A137" s="251" t="s">
        <v>466</v>
      </c>
      <c r="B137" s="261">
        <f>[1]EU27!B500</f>
        <v>3831.3865659907642</v>
      </c>
      <c r="C137" s="256">
        <f>[1]EU27!C500</f>
        <v>9.6083410786124659E-2</v>
      </c>
      <c r="D137" s="261">
        <v>25</v>
      </c>
    </row>
    <row r="138" spans="1:4" x14ac:dyDescent="0.35">
      <c r="A138" s="251" t="s">
        <v>463</v>
      </c>
      <c r="B138" s="261">
        <f>[1]EU27!B501</f>
        <v>7246.20589417479</v>
      </c>
      <c r="C138" s="256">
        <f>[1]EU27!C501</f>
        <v>9.333863575612833E-2</v>
      </c>
      <c r="D138" s="261">
        <v>25</v>
      </c>
    </row>
    <row r="139" spans="1:4" x14ac:dyDescent="0.35">
      <c r="A139" s="251" t="s">
        <v>457</v>
      </c>
      <c r="B139" s="294">
        <f>'[4]Empiric Full-load-hours'!E151</f>
        <v>1753.9891331680667</v>
      </c>
      <c r="C139" s="256">
        <f>[1]EU27!C502</f>
        <v>1.0986572719598461E-2</v>
      </c>
      <c r="D139" s="261">
        <v>100</v>
      </c>
    </row>
    <row r="140" spans="1:4" x14ac:dyDescent="0.35">
      <c r="A140" s="251" t="s">
        <v>456</v>
      </c>
      <c r="B140" s="294">
        <f>'[4]Empiric Full-load-hours'!E152</f>
        <v>3179.0868354938884</v>
      </c>
      <c r="C140" s="256">
        <f>[1]EU27!C503</f>
        <v>1.5898851968761604E-2</v>
      </c>
      <c r="D140" s="261">
        <v>100</v>
      </c>
    </row>
    <row r="141" spans="1:4" x14ac:dyDescent="0.35">
      <c r="A141" s="251" t="s">
        <v>454</v>
      </c>
      <c r="B141" s="261">
        <f>[1]EU27!B504</f>
        <v>2976.2757638909829</v>
      </c>
      <c r="C141" s="256">
        <f>[1]EU27!C504</f>
        <v>2.2268660400972043E-2</v>
      </c>
      <c r="D141" s="261">
        <v>25</v>
      </c>
    </row>
    <row r="142" spans="1:4" x14ac:dyDescent="0.35">
      <c r="A142" s="251" t="s">
        <v>467</v>
      </c>
      <c r="B142" s="261">
        <f>[1]EU27!B505</f>
        <v>2976.2757638909829</v>
      </c>
      <c r="C142" s="256">
        <f>[1]EU27!C505</f>
        <v>2.2268660400972043E-2</v>
      </c>
      <c r="D142" s="261">
        <v>25</v>
      </c>
    </row>
    <row r="143" spans="1:4" x14ac:dyDescent="0.35">
      <c r="A143" s="251" t="s">
        <v>458</v>
      </c>
      <c r="B143" s="261">
        <f>[1]EU27!B506</f>
        <v>7045.7948769219884</v>
      </c>
      <c r="C143" s="256">
        <f>[1]EU27!C506</f>
        <v>7.6517970764594908E-3</v>
      </c>
      <c r="D143" s="261">
        <v>100</v>
      </c>
    </row>
    <row r="144" spans="1:4" x14ac:dyDescent="0.35">
      <c r="A144" s="251" t="s">
        <v>459</v>
      </c>
      <c r="B144" s="261">
        <f>[1]EU27!B507</f>
        <v>2107.497758280615</v>
      </c>
      <c r="C144" s="256">
        <f>[1]EU27!C507</f>
        <v>1.5379854629415024E-3</v>
      </c>
      <c r="D144" s="261">
        <v>25</v>
      </c>
    </row>
    <row r="145" spans="1:4" x14ac:dyDescent="0.35">
      <c r="A145" s="251" t="s">
        <v>460</v>
      </c>
      <c r="B145" s="294">
        <f>'[4]Empiric Full-load-hours'!E153</f>
        <v>1144.1698750567682</v>
      </c>
      <c r="C145" s="256">
        <f>[1]EU27!C508</f>
        <v>0.83770491803278679</v>
      </c>
      <c r="D145" s="261">
        <v>25</v>
      </c>
    </row>
    <row r="146" spans="1:4" x14ac:dyDescent="0.35">
      <c r="A146" s="251" t="s">
        <v>462</v>
      </c>
      <c r="B146" s="294">
        <f>'[4]Empiric Full-load-hours'!E154</f>
        <v>978.21772543476197</v>
      </c>
      <c r="C146" s="256">
        <f>[1]EU27!C509</f>
        <v>0.52027951642487902</v>
      </c>
      <c r="D146" s="261">
        <v>30</v>
      </c>
    </row>
    <row r="147" spans="1:4" x14ac:dyDescent="0.35">
      <c r="A147" s="251" t="s">
        <v>461</v>
      </c>
      <c r="B147" s="294">
        <f>'[4]Empiric Full-load-hours'!E155</f>
        <v>978.21970106984031</v>
      </c>
      <c r="C147" s="256">
        <f>[1]EU27!C510</f>
        <v>0.52027951642487902</v>
      </c>
      <c r="D147" s="261">
        <v>30</v>
      </c>
    </row>
    <row r="148" spans="1:4" x14ac:dyDescent="0.35">
      <c r="A148" s="251" t="s">
        <v>606</v>
      </c>
      <c r="B148" s="261">
        <f>[1]EU27!B511</f>
        <v>4884.5182866231526</v>
      </c>
      <c r="C148" s="256">
        <f>[1]EU27!C511</f>
        <v>1.9392258320443133E-2</v>
      </c>
      <c r="D148" s="261">
        <v>25</v>
      </c>
    </row>
    <row r="149" spans="1:4" x14ac:dyDescent="0.35">
      <c r="A149" s="251" t="s">
        <v>607</v>
      </c>
      <c r="B149" s="261">
        <f>[1]EU27!B512</f>
        <v>4884.5182866231526</v>
      </c>
      <c r="C149" s="256">
        <f>[1]EU27!C512</f>
        <v>1.9392258320443133E-2</v>
      </c>
      <c r="D149" s="261">
        <v>25</v>
      </c>
    </row>
    <row r="150" spans="1:4" x14ac:dyDescent="0.35">
      <c r="A150" s="251" t="s">
        <v>455</v>
      </c>
      <c r="B150" s="261">
        <f>[1]EU27!B513</f>
        <v>6657.1625159193409</v>
      </c>
      <c r="C150" s="256">
        <f>[1]EU27!C513</f>
        <v>0.10596782612670605</v>
      </c>
      <c r="D150" s="261">
        <v>25</v>
      </c>
    </row>
    <row r="151" spans="1:4" x14ac:dyDescent="0.35">
      <c r="A151" s="251" t="s">
        <v>468</v>
      </c>
      <c r="B151" s="261">
        <f>[1]EU27!B514</f>
        <v>6657.1625159193409</v>
      </c>
      <c r="C151" s="256">
        <f>[1]EU27!C514</f>
        <v>0.10596782612670605</v>
      </c>
      <c r="D151" s="261">
        <v>25</v>
      </c>
    </row>
    <row r="152" spans="1:4" x14ac:dyDescent="0.35">
      <c r="A152" s="251" t="s">
        <v>465</v>
      </c>
      <c r="B152" s="294">
        <f>'[4]Empiric Full-load-hours'!E156</f>
        <v>2846.161852245938</v>
      </c>
      <c r="C152" s="256">
        <f>[1]EU27!C515</f>
        <v>9.3786973448175603E-2</v>
      </c>
      <c r="D152" s="261">
        <v>30</v>
      </c>
    </row>
    <row r="153" spans="1:4" x14ac:dyDescent="0.35">
      <c r="A153" s="251" t="s">
        <v>464</v>
      </c>
      <c r="B153" s="294">
        <f>'[4]Empiric Full-load-hours'!E157</f>
        <v>1755.6126944215134</v>
      </c>
      <c r="C153" s="256">
        <f>[1]EU27!C516</f>
        <v>0.26371592565113777</v>
      </c>
      <c r="D153" s="261">
        <v>30</v>
      </c>
    </row>
    <row r="154" spans="1:4" x14ac:dyDescent="0.35">
      <c r="A154" s="251" t="s">
        <v>608</v>
      </c>
      <c r="B154" s="260">
        <v>8760</v>
      </c>
      <c r="C154" s="247">
        <v>1</v>
      </c>
      <c r="D154" s="247">
        <v>1000000</v>
      </c>
    </row>
    <row r="155" spans="1:4" x14ac:dyDescent="0.35">
      <c r="A155" s="251" t="s">
        <v>609</v>
      </c>
      <c r="B155" s="260">
        <v>8760</v>
      </c>
      <c r="C155" s="247">
        <v>1</v>
      </c>
      <c r="D155" s="247">
        <v>1000000</v>
      </c>
    </row>
    <row r="156" spans="1:4" x14ac:dyDescent="0.35">
      <c r="A156" s="251" t="s">
        <v>610</v>
      </c>
      <c r="B156" s="260">
        <v>8760</v>
      </c>
      <c r="C156" s="247">
        <v>1</v>
      </c>
      <c r="D156" s="247">
        <v>1000000</v>
      </c>
    </row>
    <row r="157" spans="1:4" x14ac:dyDescent="0.35">
      <c r="A157" s="251" t="s">
        <v>611</v>
      </c>
      <c r="B157" s="260">
        <v>8760</v>
      </c>
      <c r="C157" s="247">
        <v>1</v>
      </c>
      <c r="D157" s="247">
        <v>1000000</v>
      </c>
    </row>
    <row r="158" spans="1:4" x14ac:dyDescent="0.35">
      <c r="A158" s="251" t="s">
        <v>612</v>
      </c>
      <c r="B158" s="260">
        <v>8760</v>
      </c>
      <c r="C158" s="247">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Region8"/>
  <dimension ref="A3:P158"/>
  <sheetViews>
    <sheetView topLeftCell="A116" zoomScale="70" zoomScaleNormal="70" workbookViewId="0">
      <selection activeCell="B138" sqref="B138"/>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5" t="s">
        <v>550</v>
      </c>
      <c r="B3" s="305"/>
      <c r="C3" s="305"/>
      <c r="D3" s="305"/>
      <c r="E3" s="305"/>
      <c r="F3" s="305"/>
      <c r="G3" s="305"/>
      <c r="H3" s="305"/>
      <c r="I3" s="305"/>
    </row>
    <row r="5" spans="1:9" ht="29" x14ac:dyDescent="0.35">
      <c r="A5" s="255" t="s">
        <v>385</v>
      </c>
      <c r="B5" s="265" t="s">
        <v>493</v>
      </c>
    </row>
    <row r="6" spans="1:9" x14ac:dyDescent="0.35">
      <c r="A6" s="248" t="s">
        <v>423</v>
      </c>
      <c r="B6" s="266" t="s">
        <v>419</v>
      </c>
    </row>
    <row r="7" spans="1:9" x14ac:dyDescent="0.35">
      <c r="A7" s="251" t="s">
        <v>490</v>
      </c>
      <c r="B7" s="256">
        <v>9.4230718923970017E-2</v>
      </c>
    </row>
    <row r="8" spans="1:9" x14ac:dyDescent="0.35">
      <c r="A8" s="251" t="s">
        <v>491</v>
      </c>
      <c r="B8" s="256">
        <v>1.6912689425676076E-2</v>
      </c>
    </row>
    <row r="9" spans="1:9" x14ac:dyDescent="0.35">
      <c r="A9" s="251" t="s">
        <v>492</v>
      </c>
      <c r="B9" s="256">
        <v>0</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6.0591395273227197E-2</v>
      </c>
      <c r="E19" s="250">
        <v>5.9457797097546908E-2</v>
      </c>
    </row>
    <row r="20" spans="1:16" x14ac:dyDescent="0.35">
      <c r="A20" s="251" t="s">
        <v>487</v>
      </c>
      <c r="B20" s="250">
        <v>1.4935141506107266E-2</v>
      </c>
      <c r="E20" s="250">
        <v>1.4280096389240108E-2</v>
      </c>
    </row>
    <row r="21" spans="1:16" x14ac:dyDescent="0.35">
      <c r="A21" s="251" t="s">
        <v>488</v>
      </c>
      <c r="B21" s="250">
        <v>0.21848477988082288</v>
      </c>
      <c r="E21" s="250">
        <v>0.21848477988082288</v>
      </c>
    </row>
    <row r="22" spans="1:16" x14ac:dyDescent="0.35">
      <c r="A22" s="251" t="s">
        <v>489</v>
      </c>
      <c r="B22" s="250">
        <v>6.3315574871983485E-2</v>
      </c>
      <c r="E22" s="250">
        <v>6.3315574871983485E-2</v>
      </c>
    </row>
    <row r="23" spans="1:16" x14ac:dyDescent="0.35">
      <c r="A23" s="251" t="s">
        <v>579</v>
      </c>
      <c r="B23" s="250">
        <v>0.23605069786755581</v>
      </c>
      <c r="E23" s="250"/>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645</v>
      </c>
    </row>
    <row r="28" spans="1:16" x14ac:dyDescent="0.35">
      <c r="A28" s="251" t="s">
        <v>498</v>
      </c>
      <c r="B28" s="285">
        <v>3.8590045478840748E-2</v>
      </c>
      <c r="C28" s="250">
        <v>0.96140995452115929</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3.8590045478840748E-2</v>
      </c>
      <c r="C29" s="250">
        <v>0.96140995452115929</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0</v>
      </c>
      <c r="H31" s="250">
        <v>1</v>
      </c>
      <c r="I31" s="247">
        <v>0</v>
      </c>
      <c r="J31" s="247">
        <v>0</v>
      </c>
      <c r="K31" s="247">
        <v>0</v>
      </c>
      <c r="L31" s="247">
        <v>0</v>
      </c>
      <c r="M31" s="247">
        <v>0</v>
      </c>
      <c r="N31" s="247">
        <v>0</v>
      </c>
      <c r="O31" s="247">
        <v>0</v>
      </c>
      <c r="P31" s="246">
        <f t="shared" si="0"/>
        <v>1</v>
      </c>
    </row>
    <row r="32" spans="1:16" x14ac:dyDescent="0.35">
      <c r="A32" s="251" t="s">
        <v>588</v>
      </c>
      <c r="B32" s="247">
        <v>0</v>
      </c>
      <c r="C32" s="247">
        <v>0</v>
      </c>
      <c r="D32" s="247">
        <v>0</v>
      </c>
      <c r="E32" s="247">
        <v>0</v>
      </c>
      <c r="F32" s="247">
        <v>0</v>
      </c>
      <c r="G32" s="285">
        <v>0</v>
      </c>
      <c r="H32" s="250">
        <v>1</v>
      </c>
      <c r="I32" s="247">
        <v>0</v>
      </c>
      <c r="J32" s="247">
        <v>0</v>
      </c>
      <c r="K32" s="247">
        <v>0</v>
      </c>
      <c r="L32" s="247">
        <v>0</v>
      </c>
      <c r="M32" s="247">
        <v>0</v>
      </c>
      <c r="N32" s="247">
        <v>0</v>
      </c>
      <c r="O32" s="247">
        <v>0</v>
      </c>
      <c r="P32" s="246">
        <f t="shared" si="0"/>
        <v>1</v>
      </c>
    </row>
    <row r="33" spans="1:16" x14ac:dyDescent="0.35">
      <c r="A33" s="251" t="s">
        <v>580</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581</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583</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589</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0</v>
      </c>
      <c r="C38" s="250">
        <v>1</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582</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v>
      </c>
      <c r="H41" s="250">
        <v>1</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587</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584</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590</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0.12738241208290935</v>
      </c>
      <c r="C47" s="250">
        <v>0.87261758791709065</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0.12738241208290935</v>
      </c>
      <c r="C48" s="250">
        <v>0.87261758791709065</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0</v>
      </c>
      <c r="H52" s="250">
        <v>1</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0</v>
      </c>
      <c r="H53" s="250">
        <v>1</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644</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585</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586</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6.4914967387391647E-3</v>
      </c>
      <c r="C65" s="250">
        <v>0.99350850326126083</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591</v>
      </c>
      <c r="B66" s="247">
        <v>0</v>
      </c>
      <c r="C66" s="247">
        <v>0</v>
      </c>
      <c r="D66" s="247">
        <v>0</v>
      </c>
      <c r="E66" s="247">
        <v>0</v>
      </c>
      <c r="F66" s="247">
        <v>0</v>
      </c>
      <c r="G66" s="285">
        <v>0</v>
      </c>
      <c r="H66" s="250">
        <v>1</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[2]EXPORT_PROREF_ouput_share!$AF$27</f>
        <v>3.6076706733806509E-2</v>
      </c>
      <c r="D74" s="256">
        <f>[2]EXPORT_PROREF_ouput_share!$AF$28</f>
        <v>0.15444630164555626</v>
      </c>
      <c r="E74" s="247">
        <v>0</v>
      </c>
      <c r="F74" s="247">
        <v>0</v>
      </c>
      <c r="G74" s="256">
        <f>[2]EXPORT_PROREF_ouput_share!$AF$29</f>
        <v>0.80947699162063724</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[3]EXPORT_PROCESS_TRANSFORMATION!AE43</f>
        <v>0.70820979856176869</v>
      </c>
    </row>
    <row r="92" spans="1:15" x14ac:dyDescent="0.35">
      <c r="A92" s="251" t="s">
        <v>530</v>
      </c>
      <c r="B92" s="250">
        <f>[3]EXPORT_PROCESS_TRANSFORMATION!AE44</f>
        <v>0.98209537849909712</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5" t="s">
        <v>546</v>
      </c>
      <c r="B105" s="305"/>
      <c r="C105" s="305"/>
      <c r="D105" s="305"/>
      <c r="E105" s="305"/>
      <c r="F105" s="305"/>
      <c r="G105" s="305"/>
      <c r="H105" s="305"/>
      <c r="I105" s="305"/>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659</v>
      </c>
    </row>
    <row r="116" spans="1:4" x14ac:dyDescent="0.35">
      <c r="A116" s="83" t="s">
        <v>421</v>
      </c>
      <c r="B116" s="259" t="s">
        <v>547</v>
      </c>
      <c r="C116" s="253" t="s">
        <v>419</v>
      </c>
      <c r="D116" s="253" t="s">
        <v>226</v>
      </c>
    </row>
    <row r="117" spans="1:4" x14ac:dyDescent="0.35">
      <c r="A117" s="251" t="s">
        <v>448</v>
      </c>
      <c r="B117" s="261">
        <f>[1]UK!B480</f>
        <v>3930.8765854686085</v>
      </c>
      <c r="C117" s="256">
        <f>[1]UK!C480</f>
        <v>0.15642965636074996</v>
      </c>
      <c r="D117" s="261">
        <v>25</v>
      </c>
    </row>
    <row r="118" spans="1:4" x14ac:dyDescent="0.35">
      <c r="A118" s="251" t="s">
        <v>452</v>
      </c>
      <c r="B118" s="261">
        <f>[1]UK!B481</f>
        <v>3930.8765854686085</v>
      </c>
      <c r="C118" s="256">
        <f>[1]UK!C481</f>
        <v>0.15642965636074996</v>
      </c>
      <c r="D118" s="261">
        <v>25</v>
      </c>
    </row>
    <row r="119" spans="1:4" x14ac:dyDescent="0.35">
      <c r="A119" s="251" t="s">
        <v>449</v>
      </c>
      <c r="B119" s="261">
        <v>7783</v>
      </c>
      <c r="C119" s="256">
        <f>[1]UK!C482</f>
        <v>0.20185603127565033</v>
      </c>
      <c r="D119" s="261">
        <v>25</v>
      </c>
    </row>
    <row r="120" spans="1:4" x14ac:dyDescent="0.35">
      <c r="A120" s="251" t="s">
        <v>451</v>
      </c>
      <c r="B120" s="261">
        <f>[1]UK!B483</f>
        <v>5446.298499669897</v>
      </c>
      <c r="C120" s="256">
        <f>[1]UK!C483</f>
        <v>0</v>
      </c>
      <c r="D120" s="261">
        <v>25</v>
      </c>
    </row>
    <row r="121" spans="1:4" x14ac:dyDescent="0.35">
      <c r="A121" s="251" t="s">
        <v>592</v>
      </c>
      <c r="B121" s="261">
        <f>[1]UK!B484</f>
        <v>5446.298499669897</v>
      </c>
      <c r="C121" s="256">
        <f>[1]UK!C484</f>
        <v>0</v>
      </c>
      <c r="D121" s="261">
        <v>25</v>
      </c>
    </row>
    <row r="122" spans="1:4" x14ac:dyDescent="0.35">
      <c r="A122" s="251" t="s">
        <v>593</v>
      </c>
      <c r="B122" s="261">
        <f>[1]UK!B485</f>
        <v>7783.2227160202547</v>
      </c>
      <c r="C122" s="256">
        <f>[1]UK!C485</f>
        <v>0</v>
      </c>
      <c r="D122" s="261">
        <v>25</v>
      </c>
    </row>
    <row r="123" spans="1:4" x14ac:dyDescent="0.35">
      <c r="A123" s="251" t="s">
        <v>594</v>
      </c>
      <c r="B123" s="261">
        <f>[1]UK!B486</f>
        <v>7783.2227160202547</v>
      </c>
      <c r="C123" s="256">
        <f>[1]UK!C486</f>
        <v>0</v>
      </c>
      <c r="D123" s="261">
        <v>25</v>
      </c>
    </row>
    <row r="124" spans="1:4" x14ac:dyDescent="0.35">
      <c r="A124" s="251" t="s">
        <v>450</v>
      </c>
      <c r="B124" s="261">
        <f>[1]UK!B487</f>
        <v>7530.8392504739923</v>
      </c>
      <c r="C124" s="256">
        <f>[1]UK!C487</f>
        <v>0.33788137578926603</v>
      </c>
      <c r="D124" s="261">
        <v>25</v>
      </c>
    </row>
    <row r="125" spans="1:4" x14ac:dyDescent="0.35">
      <c r="A125" s="251" t="s">
        <v>595</v>
      </c>
      <c r="B125" s="261">
        <f>[1]UK!B488</f>
        <v>7783.2227160202547</v>
      </c>
      <c r="C125" s="256">
        <f>[1]UK!C488</f>
        <v>0</v>
      </c>
      <c r="D125" s="261">
        <v>25</v>
      </c>
    </row>
    <row r="126" spans="1:4" x14ac:dyDescent="0.35">
      <c r="A126" s="251" t="s">
        <v>596</v>
      </c>
      <c r="B126" s="261">
        <f>[1]UK!B489</f>
        <v>7783.2227160202547</v>
      </c>
      <c r="C126" s="256">
        <f>[1]UK!C489</f>
        <v>0</v>
      </c>
      <c r="D126" s="261">
        <v>25</v>
      </c>
    </row>
    <row r="127" spans="1:4" x14ac:dyDescent="0.35">
      <c r="A127" s="251" t="s">
        <v>597</v>
      </c>
      <c r="B127" s="260">
        <f>[1]UK!B490</f>
        <v>3066</v>
      </c>
      <c r="C127" s="247">
        <f>[1]UK!C490</f>
        <v>0.3</v>
      </c>
      <c r="D127" s="261">
        <v>25</v>
      </c>
    </row>
    <row r="128" spans="1:4" x14ac:dyDescent="0.35">
      <c r="A128" s="251" t="s">
        <v>598</v>
      </c>
      <c r="B128" s="260">
        <f>[1]UK!B491</f>
        <v>3066</v>
      </c>
      <c r="C128" s="247">
        <f>[1]UK!C491</f>
        <v>0.3</v>
      </c>
      <c r="D128" s="261">
        <v>25</v>
      </c>
    </row>
    <row r="129" spans="1:4" x14ac:dyDescent="0.35">
      <c r="A129" s="251" t="s">
        <v>599</v>
      </c>
      <c r="B129" s="260">
        <f>[1]UK!B492</f>
        <v>3066</v>
      </c>
      <c r="C129" s="247">
        <f>[1]UK!C492</f>
        <v>0.3</v>
      </c>
      <c r="D129" s="261">
        <v>25</v>
      </c>
    </row>
    <row r="130" spans="1:4" x14ac:dyDescent="0.35">
      <c r="A130" s="251" t="s">
        <v>600</v>
      </c>
      <c r="B130" s="260">
        <f>[1]UK!B493</f>
        <v>3066</v>
      </c>
      <c r="C130" s="247">
        <f>[1]UK!C493</f>
        <v>0.3</v>
      </c>
      <c r="D130" s="261">
        <v>25</v>
      </c>
    </row>
    <row r="131" spans="1:4" x14ac:dyDescent="0.35">
      <c r="A131" s="251" t="s">
        <v>601</v>
      </c>
      <c r="B131" s="260">
        <f>[1]UK!B494</f>
        <v>3066</v>
      </c>
      <c r="C131" s="247">
        <f>[1]UK!C494</f>
        <v>0.3</v>
      </c>
      <c r="D131" s="261">
        <v>25</v>
      </c>
    </row>
    <row r="132" spans="1:4" x14ac:dyDescent="0.35">
      <c r="A132" s="251" t="s">
        <v>602</v>
      </c>
      <c r="B132" s="260">
        <f>[1]UK!B495</f>
        <v>3066</v>
      </c>
      <c r="C132" s="247">
        <f>[1]UK!C495</f>
        <v>0.3</v>
      </c>
      <c r="D132" s="261">
        <v>25</v>
      </c>
    </row>
    <row r="133" spans="1:4" x14ac:dyDescent="0.35">
      <c r="A133" s="251" t="s">
        <v>603</v>
      </c>
      <c r="B133" s="260">
        <f>[1]UK!B496</f>
        <v>3066</v>
      </c>
      <c r="C133" s="247">
        <f>[1]UK!C496</f>
        <v>0.3</v>
      </c>
      <c r="D133" s="261">
        <v>25</v>
      </c>
    </row>
    <row r="134" spans="1:4" x14ac:dyDescent="0.35">
      <c r="A134" s="251" t="s">
        <v>604</v>
      </c>
      <c r="B134" s="261">
        <f>[1]UK!B497</f>
        <v>6108.6060696654522</v>
      </c>
      <c r="C134" s="256">
        <f>[1]UK!C497</f>
        <v>0</v>
      </c>
      <c r="D134" s="261">
        <v>25</v>
      </c>
    </row>
    <row r="135" spans="1:4" x14ac:dyDescent="0.35">
      <c r="A135" s="251" t="s">
        <v>605</v>
      </c>
      <c r="B135" s="261">
        <f>[1]UK!B498</f>
        <v>6108.6060696654522</v>
      </c>
      <c r="C135" s="256">
        <f>[1]UK!C498</f>
        <v>0</v>
      </c>
      <c r="D135" s="261">
        <v>25</v>
      </c>
    </row>
    <row r="136" spans="1:4" x14ac:dyDescent="0.35">
      <c r="A136" s="251" t="s">
        <v>453</v>
      </c>
      <c r="B136" s="261">
        <f>[1]UK!B499</f>
        <v>6993.9156745712644</v>
      </c>
      <c r="C136" s="256">
        <f>[1]UK!C499</f>
        <v>7.9424528768128305E-2</v>
      </c>
      <c r="D136" s="261">
        <v>25</v>
      </c>
    </row>
    <row r="137" spans="1:4" x14ac:dyDescent="0.35">
      <c r="A137" s="251" t="s">
        <v>466</v>
      </c>
      <c r="B137" s="261">
        <f>[1]UK!B500</f>
        <v>6993.9156745712644</v>
      </c>
      <c r="C137" s="256">
        <f>[1]UK!C500</f>
        <v>7.9424528768128305E-2</v>
      </c>
      <c r="D137" s="261">
        <v>25</v>
      </c>
    </row>
    <row r="138" spans="1:4" x14ac:dyDescent="0.35">
      <c r="A138" s="251" t="s">
        <v>463</v>
      </c>
      <c r="B138" s="261">
        <f>[1]EU27!B501</f>
        <v>7246.20589417479</v>
      </c>
      <c r="C138" s="256">
        <f>[1]UK!C501</f>
        <v>0.20185603127565033</v>
      </c>
      <c r="D138" s="261">
        <v>25</v>
      </c>
    </row>
    <row r="139" spans="1:4" x14ac:dyDescent="0.35">
      <c r="A139" s="251" t="s">
        <v>457</v>
      </c>
      <c r="B139" s="294">
        <v>3200</v>
      </c>
      <c r="C139" s="256">
        <f>[1]UK!C502</f>
        <v>1.2791976872105818E-3</v>
      </c>
      <c r="D139" s="261">
        <v>100</v>
      </c>
    </row>
    <row r="140" spans="1:4" x14ac:dyDescent="0.35">
      <c r="A140" s="251" t="s">
        <v>456</v>
      </c>
      <c r="B140" s="294">
        <v>3200</v>
      </c>
      <c r="C140" s="256">
        <f>[1]UK!C503</f>
        <v>6.1076593804153471E-2</v>
      </c>
      <c r="D140" s="261">
        <v>100</v>
      </c>
    </row>
    <row r="141" spans="1:4" x14ac:dyDescent="0.35">
      <c r="A141" s="251" t="s">
        <v>454</v>
      </c>
      <c r="B141" s="261">
        <f>[1]UK!B504</f>
        <v>1070.4818501915263</v>
      </c>
      <c r="C141" s="256">
        <f>[1]UK!C504</f>
        <v>8.7806642101948204E-3</v>
      </c>
      <c r="D141" s="261">
        <v>25</v>
      </c>
    </row>
    <row r="142" spans="1:4" x14ac:dyDescent="0.35">
      <c r="A142" s="251" t="s">
        <v>467</v>
      </c>
      <c r="B142" s="261">
        <f>[1]UK!B505</f>
        <v>1070.4818501915263</v>
      </c>
      <c r="C142" s="256">
        <f>[1]UK!C505</f>
        <v>8.7806642101948204E-3</v>
      </c>
      <c r="D142" s="261">
        <v>25</v>
      </c>
    </row>
    <row r="143" spans="1:4" x14ac:dyDescent="0.35">
      <c r="A143" s="251" t="s">
        <v>458</v>
      </c>
      <c r="B143" s="261">
        <f>[1]UK!B506</f>
        <v>6990.1275082270777</v>
      </c>
      <c r="C143" s="256">
        <f>[1]UK!C506</f>
        <v>0</v>
      </c>
      <c r="D143" s="261">
        <v>100</v>
      </c>
    </row>
    <row r="144" spans="1:4" x14ac:dyDescent="0.35">
      <c r="A144" s="251" t="s">
        <v>459</v>
      </c>
      <c r="B144" s="261">
        <f>[1]UK!B507</f>
        <v>547.1860758634399</v>
      </c>
      <c r="C144" s="256">
        <f>[1]UK!C507</f>
        <v>0.728301886792453</v>
      </c>
      <c r="D144" s="261">
        <v>25</v>
      </c>
    </row>
    <row r="145" spans="1:4" x14ac:dyDescent="0.35">
      <c r="A145" s="251" t="s">
        <v>460</v>
      </c>
      <c r="B145" s="294">
        <v>970</v>
      </c>
      <c r="C145" s="256">
        <v>0.2</v>
      </c>
      <c r="D145" s="261">
        <v>25</v>
      </c>
    </row>
    <row r="146" spans="1:4" x14ac:dyDescent="0.35">
      <c r="A146" s="251" t="s">
        <v>462</v>
      </c>
      <c r="B146" s="294">
        <v>970</v>
      </c>
      <c r="C146" s="256">
        <f>[1]UK!C509</f>
        <v>0.7688947368421053</v>
      </c>
      <c r="D146" s="261">
        <v>30</v>
      </c>
    </row>
    <row r="147" spans="1:4" x14ac:dyDescent="0.35">
      <c r="A147" s="251" t="s">
        <v>461</v>
      </c>
      <c r="B147" s="294">
        <v>970</v>
      </c>
      <c r="C147" s="256">
        <f>[1]UK!C510</f>
        <v>0.76889473684210519</v>
      </c>
      <c r="D147" s="261">
        <v>30</v>
      </c>
    </row>
    <row r="148" spans="1:4" x14ac:dyDescent="0.35">
      <c r="A148" s="251" t="s">
        <v>606</v>
      </c>
      <c r="B148" s="261">
        <f>[1]UK!B511</f>
        <v>6108.6060696654522</v>
      </c>
      <c r="C148" s="256">
        <f>[1]UK!C511</f>
        <v>0</v>
      </c>
      <c r="D148" s="261">
        <v>25</v>
      </c>
    </row>
    <row r="149" spans="1:4" x14ac:dyDescent="0.35">
      <c r="A149" s="251" t="s">
        <v>607</v>
      </c>
      <c r="B149" s="261">
        <f>[1]UK!B512</f>
        <v>6108.6060696654522</v>
      </c>
      <c r="C149" s="256">
        <f>[1]UK!C512</f>
        <v>0</v>
      </c>
      <c r="D149" s="261">
        <v>25</v>
      </c>
    </row>
    <row r="150" spans="1:4" x14ac:dyDescent="0.35">
      <c r="A150" s="251" t="s">
        <v>455</v>
      </c>
      <c r="B150" s="261">
        <f>[1]UK!B513</f>
        <v>7884.0000000000009</v>
      </c>
      <c r="C150" s="256">
        <f>[1]UK!C513</f>
        <v>0.25637307077011567</v>
      </c>
      <c r="D150" s="261">
        <v>25</v>
      </c>
    </row>
    <row r="151" spans="1:4" x14ac:dyDescent="0.35">
      <c r="A151" s="251" t="s">
        <v>468</v>
      </c>
      <c r="B151" s="261">
        <f>[1]UK!B514</f>
        <v>7884.0000000000009</v>
      </c>
      <c r="C151" s="256">
        <f>[1]UK!C514</f>
        <v>0.25637307077011567</v>
      </c>
      <c r="D151" s="261">
        <v>25</v>
      </c>
    </row>
    <row r="152" spans="1:4" x14ac:dyDescent="0.35">
      <c r="A152" s="251" t="s">
        <v>465</v>
      </c>
      <c r="B152" s="294">
        <v>3600</v>
      </c>
      <c r="C152" s="256">
        <f>[1]UK!C515</f>
        <v>8.7414424232263019E-2</v>
      </c>
      <c r="D152" s="261">
        <v>30</v>
      </c>
    </row>
    <row r="153" spans="1:4" x14ac:dyDescent="0.35">
      <c r="A153" s="251" t="s">
        <v>464</v>
      </c>
      <c r="B153" s="294">
        <v>2600</v>
      </c>
      <c r="C153" s="256">
        <f>[1]UK!C516</f>
        <v>0.28224107635611984</v>
      </c>
      <c r="D153" s="261">
        <v>30</v>
      </c>
    </row>
    <row r="154" spans="1:4" x14ac:dyDescent="0.35">
      <c r="A154" s="251" t="s">
        <v>608</v>
      </c>
      <c r="B154" s="260">
        <v>8760</v>
      </c>
      <c r="C154" s="247">
        <f>[1]UK!C517</f>
        <v>1</v>
      </c>
      <c r="D154" s="247">
        <v>1000000</v>
      </c>
    </row>
    <row r="155" spans="1:4" x14ac:dyDescent="0.35">
      <c r="A155" s="251" t="s">
        <v>609</v>
      </c>
      <c r="B155" s="260">
        <v>8760</v>
      </c>
      <c r="C155" s="247">
        <f>[1]UK!C518</f>
        <v>1</v>
      </c>
      <c r="D155" s="247">
        <v>1000000</v>
      </c>
    </row>
    <row r="156" spans="1:4" x14ac:dyDescent="0.35">
      <c r="A156" s="251" t="s">
        <v>610</v>
      </c>
      <c r="B156" s="260">
        <v>8760</v>
      </c>
      <c r="C156" s="247">
        <f>[1]UK!C519</f>
        <v>1</v>
      </c>
      <c r="D156" s="247">
        <v>1000000</v>
      </c>
    </row>
    <row r="157" spans="1:4" x14ac:dyDescent="0.35">
      <c r="A157" s="251" t="s">
        <v>611</v>
      </c>
      <c r="B157" s="260">
        <v>8760</v>
      </c>
      <c r="C157" s="247">
        <f>[1]UK!C520</f>
        <v>1</v>
      </c>
      <c r="D157" s="247">
        <v>1000000</v>
      </c>
    </row>
    <row r="158" spans="1:4" x14ac:dyDescent="0.35">
      <c r="A158" s="251" t="s">
        <v>612</v>
      </c>
      <c r="B158" s="260">
        <v>8760</v>
      </c>
      <c r="C158" s="247">
        <f>[1]UK!C521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egion2"/>
  <dimension ref="A3:P158"/>
  <sheetViews>
    <sheetView topLeftCell="C24" zoomScale="70" zoomScaleNormal="70" workbookViewId="0">
      <selection activeCell="H62" sqref="H62"/>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5" t="s">
        <v>550</v>
      </c>
      <c r="B3" s="305"/>
      <c r="C3" s="305"/>
      <c r="D3" s="305"/>
      <c r="E3" s="305"/>
      <c r="F3" s="305"/>
      <c r="G3" s="305"/>
      <c r="H3" s="305"/>
      <c r="I3" s="305"/>
    </row>
    <row r="5" spans="1:9" ht="29" x14ac:dyDescent="0.35">
      <c r="A5" s="255" t="s">
        <v>385</v>
      </c>
      <c r="B5" s="265" t="s">
        <v>493</v>
      </c>
    </row>
    <row r="6" spans="1:9" x14ac:dyDescent="0.35">
      <c r="A6" s="248" t="s">
        <v>423</v>
      </c>
      <c r="B6" s="266" t="s">
        <v>419</v>
      </c>
    </row>
    <row r="7" spans="1:9" x14ac:dyDescent="0.35">
      <c r="A7" s="251" t="s">
        <v>490</v>
      </c>
      <c r="B7" s="256">
        <v>5.5374632505555625E-2</v>
      </c>
    </row>
    <row r="8" spans="1:9" x14ac:dyDescent="0.35">
      <c r="A8" s="251" t="s">
        <v>491</v>
      </c>
      <c r="B8" s="256">
        <v>2.6035633094557361E-2</v>
      </c>
    </row>
    <row r="9" spans="1:9" x14ac:dyDescent="0.35">
      <c r="A9" s="251" t="s">
        <v>492</v>
      </c>
      <c r="B9" s="256">
        <v>9.7621121863540571E-3</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5.5238616051227804E-2</v>
      </c>
      <c r="E19" s="286"/>
    </row>
    <row r="20" spans="1:16" x14ac:dyDescent="0.35">
      <c r="A20" s="251" t="s">
        <v>487</v>
      </c>
      <c r="B20" s="250">
        <v>0.15112446272619368</v>
      </c>
      <c r="E20" s="286"/>
    </row>
    <row r="21" spans="1:16" x14ac:dyDescent="0.35">
      <c r="A21" s="251" t="s">
        <v>488</v>
      </c>
      <c r="B21" s="250">
        <v>8.4556655704422307E-2</v>
      </c>
      <c r="E21" s="286"/>
    </row>
    <row r="22" spans="1:16" x14ac:dyDescent="0.35">
      <c r="A22" s="251" t="s">
        <v>489</v>
      </c>
      <c r="B22" s="250">
        <v>4.9362820566793711E-2</v>
      </c>
      <c r="E22" s="286"/>
    </row>
    <row r="23" spans="1:16" x14ac:dyDescent="0.35">
      <c r="A23" s="251" t="s">
        <v>579</v>
      </c>
      <c r="B23" s="250">
        <v>0.11030559229530318</v>
      </c>
      <c r="E23" s="286"/>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645</v>
      </c>
    </row>
    <row r="28" spans="1:16" x14ac:dyDescent="0.35">
      <c r="A28" s="251" t="s">
        <v>498</v>
      </c>
      <c r="B28" s="285">
        <v>1.4063443942773904E-2</v>
      </c>
      <c r="C28" s="250">
        <v>0.98593655605722608</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1.4063443942773904E-2</v>
      </c>
      <c r="C29" s="250">
        <v>0.98593655605722608</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0</v>
      </c>
      <c r="H31" s="250">
        <v>1</v>
      </c>
      <c r="I31" s="247">
        <v>0</v>
      </c>
      <c r="J31" s="247">
        <v>0</v>
      </c>
      <c r="K31" s="247">
        <v>0</v>
      </c>
      <c r="L31" s="247">
        <v>0</v>
      </c>
      <c r="M31" s="247">
        <v>0</v>
      </c>
      <c r="N31" s="247">
        <v>0</v>
      </c>
      <c r="O31" s="247">
        <v>0</v>
      </c>
      <c r="P31" s="246">
        <f t="shared" si="0"/>
        <v>1</v>
      </c>
    </row>
    <row r="32" spans="1:16" x14ac:dyDescent="0.35">
      <c r="A32" s="251" t="s">
        <v>588</v>
      </c>
      <c r="B32" s="247">
        <v>0</v>
      </c>
      <c r="C32" s="247">
        <v>0</v>
      </c>
      <c r="D32" s="247">
        <v>0</v>
      </c>
      <c r="E32" s="247">
        <v>0</v>
      </c>
      <c r="F32" s="247">
        <v>0</v>
      </c>
      <c r="G32" s="285">
        <v>0</v>
      </c>
      <c r="H32" s="250">
        <v>1</v>
      </c>
      <c r="I32" s="247">
        <v>0</v>
      </c>
      <c r="J32" s="247">
        <v>0</v>
      </c>
      <c r="K32" s="247">
        <v>0</v>
      </c>
      <c r="L32" s="247">
        <v>0</v>
      </c>
      <c r="M32" s="247">
        <v>0</v>
      </c>
      <c r="N32" s="247">
        <v>0</v>
      </c>
      <c r="O32" s="247">
        <v>0</v>
      </c>
      <c r="P32" s="246">
        <f t="shared" si="0"/>
        <v>1</v>
      </c>
    </row>
    <row r="33" spans="1:16" x14ac:dyDescent="0.35">
      <c r="A33" s="251" t="s">
        <v>580</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581</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583</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589</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0</v>
      </c>
      <c r="C38" s="250">
        <v>1</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582</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v>
      </c>
      <c r="H41" s="250">
        <v>1</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587</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584</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590</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3.443972110804789E-3</v>
      </c>
      <c r="C47" s="250">
        <v>0.99655602788919517</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3.443972110804789E-3</v>
      </c>
      <c r="C48" s="250">
        <v>0.99655602788919517</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1.4955529854970673E-2</v>
      </c>
      <c r="H52" s="250">
        <v>0.98504447014502938</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1.4955529854970673E-2</v>
      </c>
      <c r="H53" s="250">
        <v>0.98504447014502938</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644</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585</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586</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6.4914967387391647E-3</v>
      </c>
      <c r="C65" s="250">
        <v>0.99350850326126083</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591</v>
      </c>
      <c r="B66" s="247">
        <v>0</v>
      </c>
      <c r="C66" s="247">
        <v>0</v>
      </c>
      <c r="D66" s="247">
        <v>0</v>
      </c>
      <c r="E66" s="247">
        <v>0</v>
      </c>
      <c r="F66" s="247">
        <v>0</v>
      </c>
      <c r="G66" s="285">
        <v>0</v>
      </c>
      <c r="H66" s="250">
        <v>1</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[2]EXPORT_PROREF_ouput_share!$AH$27</f>
        <v>0.10615402884772447</v>
      </c>
      <c r="D74" s="256">
        <f>[2]EXPORT_PROREF_ouput_share!$AH$28</f>
        <v>0.22013654066229249</v>
      </c>
      <c r="E74" s="247">
        <v>0</v>
      </c>
      <c r="F74" s="247">
        <v>0</v>
      </c>
      <c r="G74" s="256">
        <f>[2]EXPORT_PROREF_ouput_share!$AH$29</f>
        <v>0.67370943048998311</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[3]EXPORT_PROCESS_TRANSFORMATION!AG43</f>
        <v>0.71444417472627697</v>
      </c>
    </row>
    <row r="92" spans="1:15" x14ac:dyDescent="0.35">
      <c r="A92" s="251" t="s">
        <v>530</v>
      </c>
      <c r="B92" s="250">
        <f>[3]EXPORT_PROCESS_TRANSFORMATION!AG44</f>
        <v>0.99322683658025746</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5" t="s">
        <v>546</v>
      </c>
      <c r="B105" s="305"/>
      <c r="C105" s="305"/>
      <c r="D105" s="305"/>
      <c r="E105" s="305"/>
      <c r="F105" s="305"/>
      <c r="G105" s="305"/>
      <c r="H105" s="305"/>
      <c r="I105" s="305"/>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659</v>
      </c>
    </row>
    <row r="116" spans="1:4" x14ac:dyDescent="0.35">
      <c r="A116" s="83" t="s">
        <v>421</v>
      </c>
      <c r="B116" s="259" t="s">
        <v>547</v>
      </c>
      <c r="C116" s="253" t="s">
        <v>419</v>
      </c>
      <c r="D116" s="253" t="s">
        <v>226</v>
      </c>
    </row>
    <row r="117" spans="1:4" x14ac:dyDescent="0.35">
      <c r="A117" s="251" t="s">
        <v>448</v>
      </c>
      <c r="B117" s="261">
        <f>[1]EASOC!B480</f>
        <v>4590.9629013034546</v>
      </c>
      <c r="C117" s="256">
        <f>[1]EASOC!C480</f>
        <v>6.2638890322837842E-2</v>
      </c>
      <c r="D117" s="261">
        <v>25</v>
      </c>
    </row>
    <row r="118" spans="1:4" x14ac:dyDescent="0.35">
      <c r="A118" s="251" t="s">
        <v>452</v>
      </c>
      <c r="B118" s="261">
        <f>[1]EASOC!B481</f>
        <v>4590.9629013034546</v>
      </c>
      <c r="C118" s="256">
        <f>[1]EASOC!C481</f>
        <v>6.2638890322837842E-2</v>
      </c>
      <c r="D118" s="261">
        <v>25</v>
      </c>
    </row>
    <row r="119" spans="1:4" x14ac:dyDescent="0.35">
      <c r="A119" s="251" t="s">
        <v>449</v>
      </c>
      <c r="B119" s="261">
        <f>[1]EASOC!B482</f>
        <v>7246.20589417479</v>
      </c>
      <c r="C119" s="256">
        <f>[1]EASOC!C482</f>
        <v>0.24399920288592691</v>
      </c>
      <c r="D119" s="261">
        <v>25</v>
      </c>
    </row>
    <row r="120" spans="1:4" x14ac:dyDescent="0.35">
      <c r="A120" s="251" t="s">
        <v>451</v>
      </c>
      <c r="B120" s="261">
        <f>[1]EASOC!B483</f>
        <v>3491.5272463147139</v>
      </c>
      <c r="C120" s="256">
        <f>[1]EASOC!C483</f>
        <v>1.1385152217448288E-2</v>
      </c>
      <c r="D120" s="261">
        <v>25</v>
      </c>
    </row>
    <row r="121" spans="1:4" x14ac:dyDescent="0.35">
      <c r="A121" s="251" t="s">
        <v>592</v>
      </c>
      <c r="B121" s="261">
        <f>[1]EASOC!B484</f>
        <v>3491.5272463147139</v>
      </c>
      <c r="C121" s="256">
        <f>[1]EASOC!C484</f>
        <v>1.1385152217448288E-2</v>
      </c>
      <c r="D121" s="261">
        <v>25</v>
      </c>
    </row>
    <row r="122" spans="1:4" x14ac:dyDescent="0.35">
      <c r="A122" s="251" t="s">
        <v>593</v>
      </c>
      <c r="B122" s="261">
        <f>[1]EASOC!B485</f>
        <v>4379.4085736103971</v>
      </c>
      <c r="C122" s="256">
        <f>[1]EASOC!C485</f>
        <v>1.5171112258819539E-2</v>
      </c>
      <c r="D122" s="261">
        <v>25</v>
      </c>
    </row>
    <row r="123" spans="1:4" x14ac:dyDescent="0.35">
      <c r="A123" s="251" t="s">
        <v>594</v>
      </c>
      <c r="B123" s="261">
        <f>[1]EASOC!B486</f>
        <v>4379.4085736103971</v>
      </c>
      <c r="C123" s="256">
        <f>[1]EASOC!C486</f>
        <v>1.5171112258819539E-2</v>
      </c>
      <c r="D123" s="261">
        <v>25</v>
      </c>
    </row>
    <row r="124" spans="1:4" x14ac:dyDescent="0.35">
      <c r="A124" s="251" t="s">
        <v>450</v>
      </c>
      <c r="B124" s="261">
        <f>[1]EASOC!B487</f>
        <v>4794.9787473571178</v>
      </c>
      <c r="C124" s="256">
        <f>[1]EASOC!C487</f>
        <v>8.922177747532227E-2</v>
      </c>
      <c r="D124" s="261">
        <v>25</v>
      </c>
    </row>
    <row r="125" spans="1:4" x14ac:dyDescent="0.35">
      <c r="A125" s="251" t="s">
        <v>595</v>
      </c>
      <c r="B125" s="261">
        <f>[1]EASOC!B488</f>
        <v>4379.4085736103971</v>
      </c>
      <c r="C125" s="256">
        <f>[1]EASOC!C488</f>
        <v>1.5171112258819539E-2</v>
      </c>
      <c r="D125" s="261">
        <v>25</v>
      </c>
    </row>
    <row r="126" spans="1:4" x14ac:dyDescent="0.35">
      <c r="A126" s="251" t="s">
        <v>596</v>
      </c>
      <c r="B126" s="261">
        <f>[1]EASOC!B489</f>
        <v>4379.4085736103971</v>
      </c>
      <c r="C126" s="256">
        <f>[1]EASOC!C489</f>
        <v>1.5171112258819539E-2</v>
      </c>
      <c r="D126" s="261">
        <v>25</v>
      </c>
    </row>
    <row r="127" spans="1:4" x14ac:dyDescent="0.35">
      <c r="A127" s="251" t="s">
        <v>597</v>
      </c>
      <c r="B127" s="260">
        <f>[1]EASOC!B490</f>
        <v>3066</v>
      </c>
      <c r="C127" s="247">
        <f>[1]EASOC!C490</f>
        <v>0.3</v>
      </c>
      <c r="D127" s="261">
        <v>25</v>
      </c>
    </row>
    <row r="128" spans="1:4" x14ac:dyDescent="0.35">
      <c r="A128" s="251" t="s">
        <v>598</v>
      </c>
      <c r="B128" s="260">
        <f>[1]EASOC!B491</f>
        <v>3066</v>
      </c>
      <c r="C128" s="247">
        <f>[1]EASOC!C491</f>
        <v>0.3</v>
      </c>
      <c r="D128" s="261">
        <v>25</v>
      </c>
    </row>
    <row r="129" spans="1:4" x14ac:dyDescent="0.35">
      <c r="A129" s="251" t="s">
        <v>599</v>
      </c>
      <c r="B129" s="260">
        <f>[1]EASOC!B492</f>
        <v>3066</v>
      </c>
      <c r="C129" s="247">
        <f>[1]EASOC!C492</f>
        <v>0.3</v>
      </c>
      <c r="D129" s="261">
        <v>25</v>
      </c>
    </row>
    <row r="130" spans="1:4" x14ac:dyDescent="0.35">
      <c r="A130" s="251" t="s">
        <v>600</v>
      </c>
      <c r="B130" s="260">
        <f>[1]EASOC!B493</f>
        <v>3066</v>
      </c>
      <c r="C130" s="247">
        <f>[1]EASOC!C493</f>
        <v>0.3</v>
      </c>
      <c r="D130" s="261">
        <v>25</v>
      </c>
    </row>
    <row r="131" spans="1:4" x14ac:dyDescent="0.35">
      <c r="A131" s="251" t="s">
        <v>601</v>
      </c>
      <c r="B131" s="260">
        <f>[1]EASOC!B494</f>
        <v>3066</v>
      </c>
      <c r="C131" s="247">
        <f>[1]EASOC!C494</f>
        <v>0.3</v>
      </c>
      <c r="D131" s="261">
        <v>25</v>
      </c>
    </row>
    <row r="132" spans="1:4" x14ac:dyDescent="0.35">
      <c r="A132" s="251" t="s">
        <v>602</v>
      </c>
      <c r="B132" s="260">
        <f>[1]EASOC!B495</f>
        <v>3066</v>
      </c>
      <c r="C132" s="247">
        <f>[1]EASOC!C495</f>
        <v>0.3</v>
      </c>
      <c r="D132" s="261">
        <v>25</v>
      </c>
    </row>
    <row r="133" spans="1:4" x14ac:dyDescent="0.35">
      <c r="A133" s="251" t="s">
        <v>603</v>
      </c>
      <c r="B133" s="260">
        <f>[1]EASOC!B496</f>
        <v>3066</v>
      </c>
      <c r="C133" s="247">
        <f>[1]EASOC!C496</f>
        <v>0.3</v>
      </c>
      <c r="D133" s="261">
        <v>25</v>
      </c>
    </row>
    <row r="134" spans="1:4" x14ac:dyDescent="0.35">
      <c r="A134" s="251" t="s">
        <v>604</v>
      </c>
      <c r="B134" s="261">
        <f>[1]EASOC!B497</f>
        <v>4884.5182866231526</v>
      </c>
      <c r="C134" s="256">
        <f>[1]EASOC!C497</f>
        <v>1.5171112258819539E-2</v>
      </c>
      <c r="D134" s="261">
        <v>25</v>
      </c>
    </row>
    <row r="135" spans="1:4" x14ac:dyDescent="0.35">
      <c r="A135" s="251" t="s">
        <v>605</v>
      </c>
      <c r="B135" s="261">
        <f>[1]EASOC!B498</f>
        <v>4884.5182866231526</v>
      </c>
      <c r="C135" s="256">
        <f>[1]EASOC!C498</f>
        <v>1.5171112258819539E-2</v>
      </c>
      <c r="D135" s="261">
        <v>25</v>
      </c>
    </row>
    <row r="136" spans="1:4" x14ac:dyDescent="0.35">
      <c r="A136" s="251" t="s">
        <v>453</v>
      </c>
      <c r="B136" s="261">
        <f>[1]EASOC!B499</f>
        <v>3831.3865659907642</v>
      </c>
      <c r="C136" s="256">
        <f>[1]EASOC!C499</f>
        <v>9.6083410786124659E-2</v>
      </c>
      <c r="D136" s="261">
        <v>25</v>
      </c>
    </row>
    <row r="137" spans="1:4" x14ac:dyDescent="0.35">
      <c r="A137" s="251" t="s">
        <v>466</v>
      </c>
      <c r="B137" s="261">
        <f>[1]EASOC!B500</f>
        <v>3831.3865659907642</v>
      </c>
      <c r="C137" s="256">
        <f>[1]EASOC!C500</f>
        <v>9.6083410786124659E-2</v>
      </c>
      <c r="D137" s="261">
        <v>25</v>
      </c>
    </row>
    <row r="138" spans="1:4" x14ac:dyDescent="0.35">
      <c r="A138" s="251" t="s">
        <v>463</v>
      </c>
      <c r="B138" s="261">
        <f>[1]EASOC!B501</f>
        <v>7246.20589417479</v>
      </c>
      <c r="C138" s="256">
        <f>[1]EASOC!C501</f>
        <v>9.333863575612833E-2</v>
      </c>
      <c r="D138" s="261">
        <v>25</v>
      </c>
    </row>
    <row r="139" spans="1:4" x14ac:dyDescent="0.35">
      <c r="A139" s="251" t="s">
        <v>457</v>
      </c>
      <c r="B139" s="294">
        <f>'[4]Empiric Full-load-hours'!E172</f>
        <v>2037.4972181143912</v>
      </c>
      <c r="C139" s="256">
        <f>[1]EASOC!C502</f>
        <v>1.0986572719598461E-2</v>
      </c>
      <c r="D139" s="261">
        <v>100</v>
      </c>
    </row>
    <row r="140" spans="1:4" x14ac:dyDescent="0.35">
      <c r="A140" s="251" t="s">
        <v>456</v>
      </c>
      <c r="B140" s="294">
        <f>'[4]Empiric Full-load-hours'!E173</f>
        <v>2037.497218114391</v>
      </c>
      <c r="C140" s="256">
        <f>[1]EASOC!C503</f>
        <v>1.5898851968761604E-2</v>
      </c>
      <c r="D140" s="261">
        <v>100</v>
      </c>
    </row>
    <row r="141" spans="1:4" x14ac:dyDescent="0.35">
      <c r="A141" s="251" t="s">
        <v>454</v>
      </c>
      <c r="B141" s="261">
        <f>[1]EASOC!B504</f>
        <v>2976.2757638909829</v>
      </c>
      <c r="C141" s="256">
        <f>[1]EASOC!C504</f>
        <v>2.2268660400972043E-2</v>
      </c>
      <c r="D141" s="261">
        <v>25</v>
      </c>
    </row>
    <row r="142" spans="1:4" x14ac:dyDescent="0.35">
      <c r="A142" s="251" t="s">
        <v>467</v>
      </c>
      <c r="B142" s="261">
        <f>[1]EASOC!B505</f>
        <v>2976.2757638909829</v>
      </c>
      <c r="C142" s="256">
        <f>[1]EASOC!C505</f>
        <v>2.2268660400972043E-2</v>
      </c>
      <c r="D142" s="261">
        <v>25</v>
      </c>
    </row>
    <row r="143" spans="1:4" x14ac:dyDescent="0.35">
      <c r="A143" s="251" t="s">
        <v>458</v>
      </c>
      <c r="B143" s="261">
        <f>[1]EASOC!B506</f>
        <v>7045.7948769219884</v>
      </c>
      <c r="C143" s="256">
        <f>[1]EASOC!C506</f>
        <v>7.6517970764594908E-3</v>
      </c>
      <c r="D143" s="261">
        <v>100</v>
      </c>
    </row>
    <row r="144" spans="1:4" x14ac:dyDescent="0.35">
      <c r="A144" s="251" t="s">
        <v>459</v>
      </c>
      <c r="B144" s="261">
        <f>[1]EASOC!B507</f>
        <v>2107.497758280615</v>
      </c>
      <c r="C144" s="256">
        <f>[1]EASOC!C507</f>
        <v>1.5379854629415024E-3</v>
      </c>
      <c r="D144" s="261">
        <v>25</v>
      </c>
    </row>
    <row r="145" spans="1:4" x14ac:dyDescent="0.35">
      <c r="A145" s="251" t="s">
        <v>460</v>
      </c>
      <c r="B145" s="294">
        <f>'[4]Empiric Full-load-hours'!E174</f>
        <v>1144.1698750567682</v>
      </c>
      <c r="C145" s="256">
        <f>[1]EASOC!C508</f>
        <v>0.83770491803278679</v>
      </c>
      <c r="D145" s="261">
        <v>25</v>
      </c>
    </row>
    <row r="146" spans="1:4" x14ac:dyDescent="0.35">
      <c r="A146" s="251" t="s">
        <v>462</v>
      </c>
      <c r="B146" s="294">
        <f>'[4]Empiric Full-load-hours'!E175</f>
        <v>1130.4620382233334</v>
      </c>
      <c r="C146" s="256">
        <f>[1]EASOC!C509</f>
        <v>0.52027951642487902</v>
      </c>
      <c r="D146" s="261">
        <v>30</v>
      </c>
    </row>
    <row r="147" spans="1:4" x14ac:dyDescent="0.35">
      <c r="A147" s="251" t="s">
        <v>461</v>
      </c>
      <c r="B147" s="294">
        <f>'[4]Empiric Full-load-hours'!E176</f>
        <v>1130.4646308309825</v>
      </c>
      <c r="C147" s="256">
        <f>[1]EASOC!C510</f>
        <v>0.52027951642487902</v>
      </c>
      <c r="D147" s="261">
        <v>30</v>
      </c>
    </row>
    <row r="148" spans="1:4" x14ac:dyDescent="0.35">
      <c r="A148" s="251" t="s">
        <v>606</v>
      </c>
      <c r="B148" s="261">
        <f>[1]EASOC!B511</f>
        <v>4884.5182866231526</v>
      </c>
      <c r="C148" s="256">
        <f>[1]EASOC!C511</f>
        <v>1.9392258320443133E-2</v>
      </c>
      <c r="D148" s="261">
        <v>25</v>
      </c>
    </row>
    <row r="149" spans="1:4" x14ac:dyDescent="0.35">
      <c r="A149" s="251" t="s">
        <v>607</v>
      </c>
      <c r="B149" s="261">
        <f>[1]EASOC!B512</f>
        <v>4884.5182866231526</v>
      </c>
      <c r="C149" s="256">
        <f>[1]EASOC!C512</f>
        <v>1.9392258320443133E-2</v>
      </c>
      <c r="D149" s="261">
        <v>25</v>
      </c>
    </row>
    <row r="150" spans="1:4" x14ac:dyDescent="0.35">
      <c r="A150" s="251" t="s">
        <v>455</v>
      </c>
      <c r="B150" s="261">
        <f>[1]EASOC!B513</f>
        <v>6657.1625159193409</v>
      </c>
      <c r="C150" s="256">
        <f>[1]EASOC!C513</f>
        <v>0.10596782612670605</v>
      </c>
      <c r="D150" s="261">
        <v>25</v>
      </c>
    </row>
    <row r="151" spans="1:4" x14ac:dyDescent="0.35">
      <c r="A151" s="251" t="s">
        <v>468</v>
      </c>
      <c r="B151" s="261">
        <f>[1]EASOC!B514</f>
        <v>6657.1625159193409</v>
      </c>
      <c r="C151" s="256">
        <f>[1]EASOC!C514</f>
        <v>0.10596782612670605</v>
      </c>
      <c r="D151" s="261">
        <v>25</v>
      </c>
    </row>
    <row r="152" spans="1:4" x14ac:dyDescent="0.35">
      <c r="A152" s="251" t="s">
        <v>465</v>
      </c>
      <c r="B152" s="294">
        <f>'[4]Empiric Full-load-hours'!E177</f>
        <v>3359.2067542755108</v>
      </c>
      <c r="C152" s="256">
        <f>[1]EASOC!C515</f>
        <v>9.3786973448175603E-2</v>
      </c>
      <c r="D152" s="261">
        <v>30</v>
      </c>
    </row>
    <row r="153" spans="1:4" x14ac:dyDescent="0.35">
      <c r="A153" s="251" t="s">
        <v>464</v>
      </c>
      <c r="B153" s="294">
        <f>'[4]Empiric Full-load-hours'!E178</f>
        <v>2233.4838549945271</v>
      </c>
      <c r="C153" s="256">
        <f>[1]EASOC!C516</f>
        <v>0.26371592565113777</v>
      </c>
      <c r="D153" s="261">
        <v>30</v>
      </c>
    </row>
    <row r="154" spans="1:4" x14ac:dyDescent="0.35">
      <c r="A154" s="251" t="s">
        <v>608</v>
      </c>
      <c r="B154" s="260">
        <v>8760</v>
      </c>
      <c r="C154" s="247">
        <f>[1]EASOC!C517</f>
        <v>1</v>
      </c>
      <c r="D154" s="247">
        <v>1000000</v>
      </c>
    </row>
    <row r="155" spans="1:4" x14ac:dyDescent="0.35">
      <c r="A155" s="251" t="s">
        <v>609</v>
      </c>
      <c r="B155" s="260">
        <v>8760</v>
      </c>
      <c r="C155" s="247">
        <f>[1]EASOC!C518</f>
        <v>1</v>
      </c>
      <c r="D155" s="247">
        <v>1000000</v>
      </c>
    </row>
    <row r="156" spans="1:4" x14ac:dyDescent="0.35">
      <c r="A156" s="251" t="s">
        <v>610</v>
      </c>
      <c r="B156" s="260">
        <v>8760</v>
      </c>
      <c r="C156" s="247">
        <f>[1]EASOC!C519</f>
        <v>1</v>
      </c>
      <c r="D156" s="247">
        <v>1000000</v>
      </c>
    </row>
    <row r="157" spans="1:4" x14ac:dyDescent="0.35">
      <c r="A157" s="251" t="s">
        <v>611</v>
      </c>
      <c r="B157" s="260">
        <v>8760</v>
      </c>
      <c r="C157" s="247">
        <f>[1]EASOC!C520</f>
        <v>1</v>
      </c>
      <c r="D157" s="247">
        <v>1000000</v>
      </c>
    </row>
    <row r="158" spans="1:4" x14ac:dyDescent="0.35">
      <c r="A158" s="251" t="s">
        <v>612</v>
      </c>
      <c r="B158" s="260">
        <v>8760</v>
      </c>
      <c r="C158" s="247">
        <f>[1]EASOC!C521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Region1"/>
  <dimension ref="A3:P158"/>
  <sheetViews>
    <sheetView topLeftCell="A28" zoomScale="85" zoomScaleNormal="85" workbookViewId="0">
      <pane xSplit="1" topLeftCell="E1" activePane="topRight" state="frozen"/>
      <selection activeCell="D108" sqref="D108"/>
      <selection pane="topRight" activeCell="H64" sqref="H64"/>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5" t="s">
        <v>550</v>
      </c>
      <c r="B3" s="305"/>
      <c r="C3" s="305"/>
      <c r="D3" s="305"/>
      <c r="E3" s="305"/>
      <c r="F3" s="305"/>
      <c r="G3" s="305"/>
      <c r="H3" s="305"/>
      <c r="I3" s="305"/>
    </row>
    <row r="5" spans="1:9" ht="29" x14ac:dyDescent="0.35">
      <c r="A5" s="255" t="s">
        <v>385</v>
      </c>
      <c r="B5" s="265" t="s">
        <v>493</v>
      </c>
    </row>
    <row r="6" spans="1:9" x14ac:dyDescent="0.35">
      <c r="A6" s="248" t="s">
        <v>423</v>
      </c>
      <c r="B6" s="266" t="s">
        <v>419</v>
      </c>
    </row>
    <row r="7" spans="1:9" x14ac:dyDescent="0.35">
      <c r="A7" s="251" t="s">
        <v>490</v>
      </c>
      <c r="B7" s="256">
        <v>6.1166350164515576E-2</v>
      </c>
    </row>
    <row r="8" spans="1:9" x14ac:dyDescent="0.35">
      <c r="A8" s="251" t="s">
        <v>491</v>
      </c>
      <c r="B8" s="256">
        <v>1.7373412861277613E-2</v>
      </c>
    </row>
    <row r="9" spans="1:9" x14ac:dyDescent="0.35">
      <c r="A9" s="251" t="s">
        <v>492</v>
      </c>
      <c r="B9" s="256">
        <v>1.3979835864919228E-2</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0.10561486407518574</v>
      </c>
    </row>
    <row r="20" spans="1:16" x14ac:dyDescent="0.35">
      <c r="A20" s="251" t="s">
        <v>487</v>
      </c>
      <c r="B20" s="250">
        <v>0.1073182698320044</v>
      </c>
    </row>
    <row r="21" spans="1:16" x14ac:dyDescent="0.35">
      <c r="A21" s="251" t="s">
        <v>488</v>
      </c>
      <c r="B21" s="250">
        <v>0.13029466315313232</v>
      </c>
    </row>
    <row r="22" spans="1:16" x14ac:dyDescent="0.35">
      <c r="A22" s="251" t="s">
        <v>489</v>
      </c>
      <c r="B22" s="250">
        <v>5.6419362821376537E-2</v>
      </c>
    </row>
    <row r="23" spans="1:16" x14ac:dyDescent="0.35">
      <c r="A23" s="251" t="s">
        <v>579</v>
      </c>
      <c r="B23" s="250">
        <v>4.6859930566219649E-2</v>
      </c>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645</v>
      </c>
    </row>
    <row r="28" spans="1:16" x14ac:dyDescent="0.35">
      <c r="A28" s="251" t="s">
        <v>498</v>
      </c>
      <c r="B28" s="285">
        <v>2.9123369572252923E-3</v>
      </c>
      <c r="C28" s="250">
        <v>0.99708766304277474</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2.9123369572252923E-3</v>
      </c>
      <c r="C29" s="250">
        <v>0.99708766304277474</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0</v>
      </c>
      <c r="H31" s="250">
        <v>1</v>
      </c>
      <c r="I31" s="247">
        <v>0</v>
      </c>
      <c r="J31" s="247">
        <v>0</v>
      </c>
      <c r="K31" s="247">
        <v>0</v>
      </c>
      <c r="L31" s="247">
        <v>0</v>
      </c>
      <c r="M31" s="247">
        <v>0</v>
      </c>
      <c r="N31" s="247">
        <v>0</v>
      </c>
      <c r="O31" s="247">
        <v>0</v>
      </c>
      <c r="P31" s="246">
        <f t="shared" si="0"/>
        <v>1</v>
      </c>
    </row>
    <row r="32" spans="1:16" x14ac:dyDescent="0.35">
      <c r="A32" s="251" t="s">
        <v>588</v>
      </c>
      <c r="B32" s="247">
        <v>0</v>
      </c>
      <c r="C32" s="247">
        <v>0</v>
      </c>
      <c r="D32" s="247">
        <v>0</v>
      </c>
      <c r="E32" s="247">
        <v>0</v>
      </c>
      <c r="F32" s="247">
        <v>0</v>
      </c>
      <c r="G32" s="285">
        <v>0</v>
      </c>
      <c r="H32" s="250">
        <v>1</v>
      </c>
      <c r="I32" s="247">
        <v>0</v>
      </c>
      <c r="J32" s="247">
        <v>0</v>
      </c>
      <c r="K32" s="247">
        <v>0</v>
      </c>
      <c r="L32" s="247">
        <v>0</v>
      </c>
      <c r="M32" s="247">
        <v>0</v>
      </c>
      <c r="N32" s="247">
        <v>0</v>
      </c>
      <c r="O32" s="247">
        <v>0</v>
      </c>
      <c r="P32" s="246">
        <f t="shared" si="0"/>
        <v>1</v>
      </c>
    </row>
    <row r="33" spans="1:16" x14ac:dyDescent="0.35">
      <c r="A33" s="251" t="s">
        <v>580</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581</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583</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589</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0</v>
      </c>
      <c r="C38" s="250">
        <v>1</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582</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v>
      </c>
      <c r="H41" s="250">
        <v>1</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587</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584</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590</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0</v>
      </c>
      <c r="C47" s="250">
        <v>1</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0</v>
      </c>
      <c r="C48" s="250">
        <v>1</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0</v>
      </c>
      <c r="H52" s="250">
        <v>1</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0</v>
      </c>
      <c r="H53" s="250">
        <v>1</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644</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585</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586</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6.4914967387391647E-3</v>
      </c>
      <c r="C65" s="250">
        <v>0.99350850326126083</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591</v>
      </c>
      <c r="B66" s="247">
        <v>0</v>
      </c>
      <c r="C66" s="247">
        <v>0</v>
      </c>
      <c r="D66" s="247">
        <v>0</v>
      </c>
      <c r="E66" s="247">
        <v>0</v>
      </c>
      <c r="F66" s="247">
        <v>0</v>
      </c>
      <c r="G66" s="285">
        <v>0</v>
      </c>
      <c r="H66" s="250">
        <v>1</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[2]EXPORT_PROREF_ouput_share!$AG$27</f>
        <v>0.42315211367738276</v>
      </c>
      <c r="D74" s="256">
        <f>[2]EXPORT_PROREF_ouput_share!$AG$28</f>
        <v>0.23369068534751539</v>
      </c>
      <c r="E74" s="247">
        <v>0</v>
      </c>
      <c r="F74" s="247">
        <v>0</v>
      </c>
      <c r="G74" s="256">
        <f>[2]EXPORT_PROREF_ouput_share!$AG$29</f>
        <v>0.34315720097510183</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[3]EXPORT_PROCESS_TRANSFORMATION!AF43</f>
        <v>0.73033328551032417</v>
      </c>
    </row>
    <row r="92" spans="1:15" x14ac:dyDescent="0.35">
      <c r="A92" s="251" t="s">
        <v>530</v>
      </c>
      <c r="B92" s="250">
        <f>[3]EXPORT_PROCESS_TRANSFORMATION!AF44</f>
        <v>0.96302990688813761</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5" t="s">
        <v>546</v>
      </c>
      <c r="B105" s="305"/>
      <c r="C105" s="305"/>
      <c r="D105" s="305"/>
      <c r="E105" s="305"/>
      <c r="F105" s="305"/>
      <c r="G105" s="305"/>
      <c r="H105" s="305"/>
      <c r="I105" s="305"/>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659</v>
      </c>
    </row>
    <row r="116" spans="1:4" x14ac:dyDescent="0.35">
      <c r="A116" s="83" t="s">
        <v>421</v>
      </c>
      <c r="B116" s="259" t="s">
        <v>547</v>
      </c>
      <c r="C116" s="253" t="s">
        <v>419</v>
      </c>
      <c r="D116" s="253" t="s">
        <v>226</v>
      </c>
    </row>
    <row r="117" spans="1:4" x14ac:dyDescent="0.35">
      <c r="A117" s="251" t="s">
        <v>448</v>
      </c>
      <c r="B117" s="261">
        <f>[1]China!B480</f>
        <v>4590.9629013034546</v>
      </c>
      <c r="C117" s="256">
        <f>[1]China!C480</f>
        <v>6.2638890322837842E-2</v>
      </c>
      <c r="D117" s="261">
        <v>25</v>
      </c>
    </row>
    <row r="118" spans="1:4" x14ac:dyDescent="0.35">
      <c r="A118" s="251" t="s">
        <v>452</v>
      </c>
      <c r="B118" s="261">
        <f>[1]China!B481</f>
        <v>4590.9629013034546</v>
      </c>
      <c r="C118" s="256">
        <f>[1]China!C481</f>
        <v>6.2638890322837842E-2</v>
      </c>
      <c r="D118" s="261">
        <v>25</v>
      </c>
    </row>
    <row r="119" spans="1:4" x14ac:dyDescent="0.35">
      <c r="A119" s="251" t="s">
        <v>449</v>
      </c>
      <c r="B119" s="261">
        <f>[1]China!B482</f>
        <v>7246.20589417479</v>
      </c>
      <c r="C119" s="256">
        <f>[1]China!C482</f>
        <v>0.24399920288592691</v>
      </c>
      <c r="D119" s="261">
        <v>25</v>
      </c>
    </row>
    <row r="120" spans="1:4" x14ac:dyDescent="0.35">
      <c r="A120" s="251" t="s">
        <v>451</v>
      </c>
      <c r="B120" s="261">
        <f>[1]China!B483</f>
        <v>3491.5272463147139</v>
      </c>
      <c r="C120" s="256">
        <f>[1]China!C483</f>
        <v>1.1385152217448288E-2</v>
      </c>
      <c r="D120" s="261">
        <v>25</v>
      </c>
    </row>
    <row r="121" spans="1:4" x14ac:dyDescent="0.35">
      <c r="A121" s="251" t="s">
        <v>592</v>
      </c>
      <c r="B121" s="261">
        <f>[1]China!B484</f>
        <v>3491.5272463147139</v>
      </c>
      <c r="C121" s="256">
        <f>[1]China!C484</f>
        <v>1.1385152217448288E-2</v>
      </c>
      <c r="D121" s="261">
        <v>25</v>
      </c>
    </row>
    <row r="122" spans="1:4" x14ac:dyDescent="0.35">
      <c r="A122" s="251" t="s">
        <v>593</v>
      </c>
      <c r="B122" s="261">
        <f>[1]China!B485</f>
        <v>4379.4085736103971</v>
      </c>
      <c r="C122" s="256">
        <f>[1]China!C485</f>
        <v>1.5171112258819539E-2</v>
      </c>
      <c r="D122" s="261">
        <v>25</v>
      </c>
    </row>
    <row r="123" spans="1:4" x14ac:dyDescent="0.35">
      <c r="A123" s="251" t="s">
        <v>594</v>
      </c>
      <c r="B123" s="261">
        <f>[1]China!B486</f>
        <v>4379.4085736103971</v>
      </c>
      <c r="C123" s="256">
        <f>[1]China!C486</f>
        <v>1.5171112258819539E-2</v>
      </c>
      <c r="D123" s="261">
        <v>25</v>
      </c>
    </row>
    <row r="124" spans="1:4" x14ac:dyDescent="0.35">
      <c r="A124" s="251" t="s">
        <v>450</v>
      </c>
      <c r="B124" s="261">
        <f>[1]China!B487</f>
        <v>4794.9787473571178</v>
      </c>
      <c r="C124" s="256">
        <f>[1]China!C487</f>
        <v>8.922177747532227E-2</v>
      </c>
      <c r="D124" s="261">
        <v>25</v>
      </c>
    </row>
    <row r="125" spans="1:4" x14ac:dyDescent="0.35">
      <c r="A125" s="251" t="s">
        <v>595</v>
      </c>
      <c r="B125" s="261">
        <f>[1]China!B488</f>
        <v>4379.4085736103971</v>
      </c>
      <c r="C125" s="256">
        <f>[1]China!C488</f>
        <v>1.5171112258819539E-2</v>
      </c>
      <c r="D125" s="261">
        <v>25</v>
      </c>
    </row>
    <row r="126" spans="1:4" x14ac:dyDescent="0.35">
      <c r="A126" s="251" t="s">
        <v>596</v>
      </c>
      <c r="B126" s="261">
        <f>[1]China!B489</f>
        <v>4379.4085736103971</v>
      </c>
      <c r="C126" s="256">
        <f>[1]China!C489</f>
        <v>1.5171112258819539E-2</v>
      </c>
      <c r="D126" s="261">
        <v>25</v>
      </c>
    </row>
    <row r="127" spans="1:4" x14ac:dyDescent="0.35">
      <c r="A127" s="251" t="s">
        <v>597</v>
      </c>
      <c r="B127" s="260">
        <f>[1]China!B490</f>
        <v>3066</v>
      </c>
      <c r="C127" s="247">
        <f>[1]China!C490</f>
        <v>0.3</v>
      </c>
      <c r="D127" s="261">
        <v>25</v>
      </c>
    </row>
    <row r="128" spans="1:4" x14ac:dyDescent="0.35">
      <c r="A128" s="251" t="s">
        <v>598</v>
      </c>
      <c r="B128" s="260">
        <f>[1]China!B491</f>
        <v>3066</v>
      </c>
      <c r="C128" s="247">
        <f>[1]China!C491</f>
        <v>0.3</v>
      </c>
      <c r="D128" s="261">
        <v>25</v>
      </c>
    </row>
    <row r="129" spans="1:4" x14ac:dyDescent="0.35">
      <c r="A129" s="251" t="s">
        <v>599</v>
      </c>
      <c r="B129" s="260">
        <f>[1]China!B492</f>
        <v>3066</v>
      </c>
      <c r="C129" s="247">
        <f>[1]China!C492</f>
        <v>0.3</v>
      </c>
      <c r="D129" s="261">
        <v>25</v>
      </c>
    </row>
    <row r="130" spans="1:4" x14ac:dyDescent="0.35">
      <c r="A130" s="251" t="s">
        <v>600</v>
      </c>
      <c r="B130" s="260">
        <f>[1]China!B493</f>
        <v>3066</v>
      </c>
      <c r="C130" s="247">
        <f>[1]China!C493</f>
        <v>0.3</v>
      </c>
      <c r="D130" s="261">
        <v>25</v>
      </c>
    </row>
    <row r="131" spans="1:4" x14ac:dyDescent="0.35">
      <c r="A131" s="251" t="s">
        <v>601</v>
      </c>
      <c r="B131" s="260">
        <f>[1]China!B494</f>
        <v>3066</v>
      </c>
      <c r="C131" s="247">
        <f>[1]China!C494</f>
        <v>0.3</v>
      </c>
      <c r="D131" s="261">
        <v>25</v>
      </c>
    </row>
    <row r="132" spans="1:4" x14ac:dyDescent="0.35">
      <c r="A132" s="251" t="s">
        <v>602</v>
      </c>
      <c r="B132" s="260">
        <f>[1]China!B495</f>
        <v>3066</v>
      </c>
      <c r="C132" s="247">
        <f>[1]China!C495</f>
        <v>0.3</v>
      </c>
      <c r="D132" s="261">
        <v>25</v>
      </c>
    </row>
    <row r="133" spans="1:4" x14ac:dyDescent="0.35">
      <c r="A133" s="251" t="s">
        <v>603</v>
      </c>
      <c r="B133" s="260">
        <f>[1]China!B496</f>
        <v>3066</v>
      </c>
      <c r="C133" s="247">
        <f>[1]China!C496</f>
        <v>0.3</v>
      </c>
      <c r="D133" s="261">
        <v>25</v>
      </c>
    </row>
    <row r="134" spans="1:4" x14ac:dyDescent="0.35">
      <c r="A134" s="251" t="s">
        <v>604</v>
      </c>
      <c r="B134" s="261">
        <f>[1]China!B497</f>
        <v>4884.5182866231526</v>
      </c>
      <c r="C134" s="256">
        <f>[1]China!C497</f>
        <v>1.5171112258819539E-2</v>
      </c>
      <c r="D134" s="261">
        <v>25</v>
      </c>
    </row>
    <row r="135" spans="1:4" x14ac:dyDescent="0.35">
      <c r="A135" s="251" t="s">
        <v>605</v>
      </c>
      <c r="B135" s="261">
        <f>[1]China!B498</f>
        <v>4884.5182866231526</v>
      </c>
      <c r="C135" s="256">
        <f>[1]China!C498</f>
        <v>1.5171112258819539E-2</v>
      </c>
      <c r="D135" s="261">
        <v>25</v>
      </c>
    </row>
    <row r="136" spans="1:4" x14ac:dyDescent="0.35">
      <c r="A136" s="251" t="s">
        <v>453</v>
      </c>
      <c r="B136" s="261">
        <f>[1]China!B499</f>
        <v>3831.3865659907642</v>
      </c>
      <c r="C136" s="256">
        <f>[1]China!C499</f>
        <v>9.6083410786124659E-2</v>
      </c>
      <c r="D136" s="261">
        <v>25</v>
      </c>
    </row>
    <row r="137" spans="1:4" x14ac:dyDescent="0.35">
      <c r="A137" s="251" t="s">
        <v>466</v>
      </c>
      <c r="B137" s="261">
        <f>[1]China!B500</f>
        <v>3831.3865659907642</v>
      </c>
      <c r="C137" s="256">
        <f>[1]China!C500</f>
        <v>9.6083410786124659E-2</v>
      </c>
      <c r="D137" s="261">
        <v>25</v>
      </c>
    </row>
    <row r="138" spans="1:4" x14ac:dyDescent="0.35">
      <c r="A138" s="251" t="s">
        <v>463</v>
      </c>
      <c r="B138" s="261">
        <f>[1]China!B501</f>
        <v>7246.20589417479</v>
      </c>
      <c r="C138" s="256">
        <f>[1]China!C501</f>
        <v>9.333863575612833E-2</v>
      </c>
      <c r="D138" s="261">
        <v>25</v>
      </c>
    </row>
    <row r="139" spans="1:4" x14ac:dyDescent="0.35">
      <c r="A139" s="251" t="s">
        <v>457</v>
      </c>
      <c r="B139" s="294">
        <f>'[4]Empiric Full-load-hours'!E165</f>
        <v>3493.3051305597246</v>
      </c>
      <c r="C139" s="256">
        <f>[1]China!C502</f>
        <v>1.0986572719598461E-2</v>
      </c>
      <c r="D139" s="261">
        <v>100</v>
      </c>
    </row>
    <row r="140" spans="1:4" x14ac:dyDescent="0.35">
      <c r="A140" s="251" t="s">
        <v>456</v>
      </c>
      <c r="B140" s="294">
        <f>'[4]Empiric Full-load-hours'!E166</f>
        <v>3493.3060979984466</v>
      </c>
      <c r="C140" s="256">
        <f>[1]China!C503</f>
        <v>1.5898851968761604E-2</v>
      </c>
      <c r="D140" s="261">
        <v>100</v>
      </c>
    </row>
    <row r="141" spans="1:4" x14ac:dyDescent="0.35">
      <c r="A141" s="251" t="s">
        <v>454</v>
      </c>
      <c r="B141" s="261">
        <f>[1]China!B504</f>
        <v>2976.2757638909829</v>
      </c>
      <c r="C141" s="256">
        <f>[1]China!C504</f>
        <v>2.2268660400972043E-2</v>
      </c>
      <c r="D141" s="261">
        <v>25</v>
      </c>
    </row>
    <row r="142" spans="1:4" x14ac:dyDescent="0.35">
      <c r="A142" s="251" t="s">
        <v>467</v>
      </c>
      <c r="B142" s="261">
        <f>[1]China!B505</f>
        <v>2976.2757638909829</v>
      </c>
      <c r="C142" s="256">
        <f>[1]China!C505</f>
        <v>2.2268660400972043E-2</v>
      </c>
      <c r="D142" s="261">
        <v>25</v>
      </c>
    </row>
    <row r="143" spans="1:4" x14ac:dyDescent="0.35">
      <c r="A143" s="251" t="s">
        <v>458</v>
      </c>
      <c r="B143" s="261">
        <f>[1]China!B506</f>
        <v>7045.7948769219884</v>
      </c>
      <c r="C143" s="256">
        <f>[1]China!C506</f>
        <v>7.6517970764594908E-3</v>
      </c>
      <c r="D143" s="261">
        <v>100</v>
      </c>
    </row>
    <row r="144" spans="1:4" x14ac:dyDescent="0.35">
      <c r="A144" s="251" t="s">
        <v>459</v>
      </c>
      <c r="B144" s="261">
        <f>[1]China!B507</f>
        <v>2107.497758280615</v>
      </c>
      <c r="C144" s="256">
        <f>[1]China!C507</f>
        <v>1.5379854629415024E-3</v>
      </c>
      <c r="D144" s="261">
        <v>25</v>
      </c>
    </row>
    <row r="145" spans="1:4" x14ac:dyDescent="0.35">
      <c r="A145" s="251" t="s">
        <v>460</v>
      </c>
      <c r="B145" s="294">
        <f>'[4]Empiric Full-load-hours'!E167</f>
        <v>1144.1698750567682</v>
      </c>
      <c r="C145" s="256">
        <f>[1]China!C508</f>
        <v>0.83770491803278679</v>
      </c>
      <c r="D145" s="261">
        <v>25</v>
      </c>
    </row>
    <row r="146" spans="1:4" x14ac:dyDescent="0.35">
      <c r="A146" s="251" t="s">
        <v>462</v>
      </c>
      <c r="B146" s="294">
        <f>'[4]Empiric Full-load-hours'!E168</f>
        <v>1051.3066239469053</v>
      </c>
      <c r="C146" s="256">
        <f>[1]China!C509</f>
        <v>0.52027951642487902</v>
      </c>
      <c r="D146" s="261">
        <v>30</v>
      </c>
    </row>
    <row r="147" spans="1:4" x14ac:dyDescent="0.35">
      <c r="A147" s="251" t="s">
        <v>461</v>
      </c>
      <c r="B147" s="294">
        <f>'[4]Empiric Full-load-hours'!E169</f>
        <v>1051.3079226291982</v>
      </c>
      <c r="C147" s="256">
        <f>[1]China!C510</f>
        <v>0.52027951642487902</v>
      </c>
      <c r="D147" s="261">
        <v>30</v>
      </c>
    </row>
    <row r="148" spans="1:4" x14ac:dyDescent="0.35">
      <c r="A148" s="251" t="s">
        <v>606</v>
      </c>
      <c r="B148" s="261">
        <f>[1]China!B511</f>
        <v>4884.5182866231526</v>
      </c>
      <c r="C148" s="256">
        <f>[1]China!C511</f>
        <v>1.9392258320443133E-2</v>
      </c>
      <c r="D148" s="261">
        <v>25</v>
      </c>
    </row>
    <row r="149" spans="1:4" x14ac:dyDescent="0.35">
      <c r="A149" s="251" t="s">
        <v>607</v>
      </c>
      <c r="B149" s="261">
        <f>[1]China!B512</f>
        <v>4884.5182866231526</v>
      </c>
      <c r="C149" s="256">
        <f>[1]China!C512</f>
        <v>1.9392258320443133E-2</v>
      </c>
      <c r="D149" s="261">
        <v>25</v>
      </c>
    </row>
    <row r="150" spans="1:4" x14ac:dyDescent="0.35">
      <c r="A150" s="251" t="s">
        <v>455</v>
      </c>
      <c r="B150" s="261">
        <f>[1]China!B513</f>
        <v>6657.1625159193409</v>
      </c>
      <c r="C150" s="256">
        <f>[1]China!C513</f>
        <v>0.10596782612670605</v>
      </c>
      <c r="D150" s="261">
        <v>25</v>
      </c>
    </row>
    <row r="151" spans="1:4" x14ac:dyDescent="0.35">
      <c r="A151" s="251" t="s">
        <v>468</v>
      </c>
      <c r="B151" s="261">
        <f>[1]China!B514</f>
        <v>6657.1625159193409</v>
      </c>
      <c r="C151" s="256">
        <f>[1]China!C514</f>
        <v>0.10596782612670605</v>
      </c>
      <c r="D151" s="261">
        <v>25</v>
      </c>
    </row>
    <row r="152" spans="1:4" x14ac:dyDescent="0.35">
      <c r="A152" s="251" t="s">
        <v>465</v>
      </c>
      <c r="B152" s="294">
        <f>'[4]Empiric Full-load-hours'!E170</f>
        <v>1789.9565641343852</v>
      </c>
      <c r="C152" s="256">
        <f>[1]China!C515</f>
        <v>9.3786973448175603E-2</v>
      </c>
      <c r="D152" s="261">
        <v>30</v>
      </c>
    </row>
    <row r="153" spans="1:4" x14ac:dyDescent="0.35">
      <c r="A153" s="251" t="s">
        <v>464</v>
      </c>
      <c r="B153" s="294">
        <f>'[4]Empiric Full-load-hours'!E171</f>
        <v>1980.4133084796931</v>
      </c>
      <c r="C153" s="256">
        <f>[1]China!C516</f>
        <v>0.26371592565113777</v>
      </c>
      <c r="D153" s="261">
        <v>30</v>
      </c>
    </row>
    <row r="154" spans="1:4" x14ac:dyDescent="0.35">
      <c r="A154" s="251" t="s">
        <v>608</v>
      </c>
      <c r="B154" s="260">
        <v>8760</v>
      </c>
      <c r="C154" s="247">
        <f>[1]China!C517</f>
        <v>1</v>
      </c>
      <c r="D154" s="247">
        <v>1000000</v>
      </c>
    </row>
    <row r="155" spans="1:4" x14ac:dyDescent="0.35">
      <c r="A155" s="251" t="s">
        <v>609</v>
      </c>
      <c r="B155" s="260">
        <v>8760</v>
      </c>
      <c r="C155" s="247">
        <f>[1]China!C518</f>
        <v>1</v>
      </c>
      <c r="D155" s="247">
        <v>1000000</v>
      </c>
    </row>
    <row r="156" spans="1:4" x14ac:dyDescent="0.35">
      <c r="A156" s="251" t="s">
        <v>610</v>
      </c>
      <c r="B156" s="260">
        <v>8760</v>
      </c>
      <c r="C156" s="247">
        <f>[1]China!C519</f>
        <v>1</v>
      </c>
      <c r="D156" s="247">
        <v>1000000</v>
      </c>
    </row>
    <row r="157" spans="1:4" x14ac:dyDescent="0.35">
      <c r="A157" s="251" t="s">
        <v>611</v>
      </c>
      <c r="B157" s="260">
        <v>8760</v>
      </c>
      <c r="C157" s="247">
        <f>[1]China!C520</f>
        <v>1</v>
      </c>
      <c r="D157" s="247">
        <v>1000000</v>
      </c>
    </row>
    <row r="158" spans="1:4" x14ac:dyDescent="0.35">
      <c r="A158" s="251" t="s">
        <v>612</v>
      </c>
      <c r="B158" s="260">
        <v>8760</v>
      </c>
      <c r="C158" s="247">
        <f>[1]China!C521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Region4"/>
  <dimension ref="A3:P158"/>
  <sheetViews>
    <sheetView topLeftCell="A34" zoomScale="70" zoomScaleNormal="70" workbookViewId="0">
      <selection activeCell="A71" sqref="A71:XFD71"/>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5" t="s">
        <v>550</v>
      </c>
      <c r="B3" s="305"/>
      <c r="C3" s="305"/>
      <c r="D3" s="305"/>
      <c r="E3" s="305"/>
      <c r="F3" s="305"/>
      <c r="G3" s="305"/>
      <c r="H3" s="305"/>
      <c r="I3" s="305"/>
    </row>
    <row r="5" spans="1:9" ht="29" x14ac:dyDescent="0.35">
      <c r="A5" s="255" t="s">
        <v>385</v>
      </c>
      <c r="B5" s="265" t="s">
        <v>493</v>
      </c>
    </row>
    <row r="6" spans="1:9" x14ac:dyDescent="0.35">
      <c r="A6" s="248" t="s">
        <v>423</v>
      </c>
      <c r="B6" s="266" t="s">
        <v>419</v>
      </c>
    </row>
    <row r="7" spans="1:9" x14ac:dyDescent="0.35">
      <c r="A7" s="251" t="s">
        <v>490</v>
      </c>
      <c r="B7" s="256">
        <v>0.23670650991825795</v>
      </c>
    </row>
    <row r="8" spans="1:9" x14ac:dyDescent="0.35">
      <c r="A8" s="251" t="s">
        <v>491</v>
      </c>
      <c r="B8" s="256">
        <v>0</v>
      </c>
    </row>
    <row r="9" spans="1:9" x14ac:dyDescent="0.35">
      <c r="A9" s="251" t="s">
        <v>492</v>
      </c>
      <c r="B9" s="256">
        <v>0</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0.10552521122740913</v>
      </c>
    </row>
    <row r="20" spans="1:16" x14ac:dyDescent="0.35">
      <c r="A20" s="251" t="s">
        <v>487</v>
      </c>
      <c r="B20" s="250">
        <v>0.15317452479221672</v>
      </c>
    </row>
    <row r="21" spans="1:16" x14ac:dyDescent="0.35">
      <c r="A21" s="251" t="s">
        <v>488</v>
      </c>
      <c r="B21" s="250">
        <v>0</v>
      </c>
    </row>
    <row r="22" spans="1:16" x14ac:dyDescent="0.35">
      <c r="A22" s="251" t="s">
        <v>489</v>
      </c>
      <c r="B22" s="250">
        <v>7.5991209333211129E-2</v>
      </c>
    </row>
    <row r="23" spans="1:16" x14ac:dyDescent="0.35">
      <c r="A23" s="251" t="s">
        <v>579</v>
      </c>
      <c r="B23" s="250">
        <v>1.3732194176854383E-2</v>
      </c>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645</v>
      </c>
    </row>
    <row r="28" spans="1:16" x14ac:dyDescent="0.35">
      <c r="A28" s="251" t="s">
        <v>498</v>
      </c>
      <c r="B28" s="285">
        <v>0</v>
      </c>
      <c r="C28" s="250">
        <v>1</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0</v>
      </c>
      <c r="C29" s="250">
        <v>1</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0</v>
      </c>
      <c r="H31" s="250">
        <v>1</v>
      </c>
      <c r="I31" s="247">
        <v>0</v>
      </c>
      <c r="J31" s="247">
        <v>0</v>
      </c>
      <c r="K31" s="247">
        <v>0</v>
      </c>
      <c r="L31" s="247">
        <v>0</v>
      </c>
      <c r="M31" s="247">
        <v>0</v>
      </c>
      <c r="N31" s="247">
        <v>0</v>
      </c>
      <c r="O31" s="247">
        <v>0</v>
      </c>
      <c r="P31" s="246">
        <f t="shared" si="0"/>
        <v>1</v>
      </c>
    </row>
    <row r="32" spans="1:16" x14ac:dyDescent="0.35">
      <c r="A32" s="251" t="s">
        <v>588</v>
      </c>
      <c r="B32" s="247">
        <v>0</v>
      </c>
      <c r="C32" s="247">
        <v>0</v>
      </c>
      <c r="D32" s="247">
        <v>0</v>
      </c>
      <c r="E32" s="247">
        <v>0</v>
      </c>
      <c r="F32" s="247">
        <v>0</v>
      </c>
      <c r="G32" s="285">
        <v>0</v>
      </c>
      <c r="H32" s="250">
        <v>1</v>
      </c>
      <c r="I32" s="247">
        <v>0</v>
      </c>
      <c r="J32" s="247">
        <v>0</v>
      </c>
      <c r="K32" s="247">
        <v>0</v>
      </c>
      <c r="L32" s="247">
        <v>0</v>
      </c>
      <c r="M32" s="247">
        <v>0</v>
      </c>
      <c r="N32" s="247">
        <v>0</v>
      </c>
      <c r="O32" s="247">
        <v>0</v>
      </c>
      <c r="P32" s="246">
        <f t="shared" si="0"/>
        <v>1</v>
      </c>
    </row>
    <row r="33" spans="1:16" x14ac:dyDescent="0.35">
      <c r="A33" s="251" t="s">
        <v>580</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581</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583</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589</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0</v>
      </c>
      <c r="C38" s="250">
        <v>1</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582</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v>
      </c>
      <c r="H41" s="250">
        <v>1</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587</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584</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590</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3.0170205829160086E-2</v>
      </c>
      <c r="C47" s="250">
        <v>0.96982979417083992</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3.0170205829160086E-2</v>
      </c>
      <c r="C48" s="250">
        <v>0.96982979417083992</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0</v>
      </c>
      <c r="H52" s="250">
        <v>1</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0</v>
      </c>
      <c r="H53" s="250">
        <v>1</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644</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585</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586</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6.4914967387391647E-3</v>
      </c>
      <c r="C65" s="250">
        <v>0.99350850326126083</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591</v>
      </c>
      <c r="B66" s="247">
        <v>0</v>
      </c>
      <c r="C66" s="247">
        <v>0</v>
      </c>
      <c r="D66" s="247">
        <v>0</v>
      </c>
      <c r="E66" s="247">
        <v>0</v>
      </c>
      <c r="F66" s="247">
        <v>0</v>
      </c>
      <c r="G66" s="285">
        <v>0</v>
      </c>
      <c r="H66" s="250">
        <v>1</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[2]EXPORT_PROREF_ouput_share!$AI$27</f>
        <v>0.17074341723318237</v>
      </c>
      <c r="D74" s="256">
        <f>[2]EXPORT_PROREF_ouput_share!$AI$28</f>
        <v>0.46066379578124439</v>
      </c>
      <c r="E74" s="247">
        <v>0</v>
      </c>
      <c r="F74" s="247">
        <v>0</v>
      </c>
      <c r="G74" s="256">
        <f>[2]EXPORT_PROREF_ouput_share!$AI$29</f>
        <v>0.36859278698557324</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[3]EXPORT_PROCESS_TRANSFORMATION!AH43</f>
        <v>0.69142767560638163</v>
      </c>
    </row>
    <row r="92" spans="1:15" x14ac:dyDescent="0.35">
      <c r="A92" s="251" t="s">
        <v>530</v>
      </c>
      <c r="B92" s="250">
        <f>[3]EXPORT_PROCESS_TRANSFORMATION!AH44</f>
        <v>0.98308726653898948</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5" t="s">
        <v>546</v>
      </c>
      <c r="B105" s="305"/>
      <c r="C105" s="305"/>
      <c r="D105" s="305"/>
      <c r="E105" s="305"/>
      <c r="F105" s="305"/>
      <c r="G105" s="305"/>
      <c r="H105" s="305"/>
      <c r="I105" s="305"/>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659</v>
      </c>
    </row>
    <row r="116" spans="1:4" x14ac:dyDescent="0.35">
      <c r="A116" s="83" t="s">
        <v>421</v>
      </c>
      <c r="B116" s="259" t="s">
        <v>547</v>
      </c>
      <c r="C116" s="253" t="s">
        <v>419</v>
      </c>
      <c r="D116" s="253" t="s">
        <v>226</v>
      </c>
    </row>
    <row r="117" spans="1:4" x14ac:dyDescent="0.35">
      <c r="A117" s="251" t="s">
        <v>448</v>
      </c>
      <c r="B117" s="261">
        <f>[1]India!B480</f>
        <v>4590.9629013034546</v>
      </c>
      <c r="C117" s="256">
        <f>[1]India!C480</f>
        <v>6.2638890322837842E-2</v>
      </c>
      <c r="D117" s="261">
        <v>25</v>
      </c>
    </row>
    <row r="118" spans="1:4" x14ac:dyDescent="0.35">
      <c r="A118" s="251" t="s">
        <v>452</v>
      </c>
      <c r="B118" s="261">
        <f>[1]India!B481</f>
        <v>4590.9629013034546</v>
      </c>
      <c r="C118" s="256">
        <f>[1]India!C481</f>
        <v>6.2638890322837842E-2</v>
      </c>
      <c r="D118" s="261">
        <v>25</v>
      </c>
    </row>
    <row r="119" spans="1:4" x14ac:dyDescent="0.35">
      <c r="A119" s="251" t="s">
        <v>449</v>
      </c>
      <c r="B119" s="261">
        <f>[1]India!B482</f>
        <v>7246.20589417479</v>
      </c>
      <c r="C119" s="256">
        <f>[1]India!C482</f>
        <v>0.24399920288592691</v>
      </c>
      <c r="D119" s="261">
        <v>25</v>
      </c>
    </row>
    <row r="120" spans="1:4" x14ac:dyDescent="0.35">
      <c r="A120" s="251" t="s">
        <v>451</v>
      </c>
      <c r="B120" s="261">
        <f>[1]India!B483</f>
        <v>3491.5272463147139</v>
      </c>
      <c r="C120" s="256">
        <f>[1]India!C483</f>
        <v>1.1385152217448288E-2</v>
      </c>
      <c r="D120" s="261">
        <v>25</v>
      </c>
    </row>
    <row r="121" spans="1:4" x14ac:dyDescent="0.35">
      <c r="A121" s="251" t="s">
        <v>592</v>
      </c>
      <c r="B121" s="261">
        <f>[1]India!B484</f>
        <v>3491.5272463147139</v>
      </c>
      <c r="C121" s="256">
        <f>[1]India!C484</f>
        <v>1.1385152217448288E-2</v>
      </c>
      <c r="D121" s="261">
        <v>25</v>
      </c>
    </row>
    <row r="122" spans="1:4" x14ac:dyDescent="0.35">
      <c r="A122" s="251" t="s">
        <v>593</v>
      </c>
      <c r="B122" s="261">
        <f>[1]India!B485</f>
        <v>4379.4085736103971</v>
      </c>
      <c r="C122" s="256">
        <f>[1]India!C485</f>
        <v>1.5171112258819539E-2</v>
      </c>
      <c r="D122" s="261">
        <v>25</v>
      </c>
    </row>
    <row r="123" spans="1:4" x14ac:dyDescent="0.35">
      <c r="A123" s="251" t="s">
        <v>594</v>
      </c>
      <c r="B123" s="261">
        <f>[1]India!B486</f>
        <v>4379.4085736103971</v>
      </c>
      <c r="C123" s="256">
        <f>[1]India!C486</f>
        <v>1.5171112258819539E-2</v>
      </c>
      <c r="D123" s="261">
        <v>25</v>
      </c>
    </row>
    <row r="124" spans="1:4" x14ac:dyDescent="0.35">
      <c r="A124" s="251" t="s">
        <v>450</v>
      </c>
      <c r="B124" s="261">
        <f>[1]India!B487</f>
        <v>4794.9787473571178</v>
      </c>
      <c r="C124" s="256">
        <f>[1]India!C487</f>
        <v>8.922177747532227E-2</v>
      </c>
      <c r="D124" s="261">
        <v>25</v>
      </c>
    </row>
    <row r="125" spans="1:4" x14ac:dyDescent="0.35">
      <c r="A125" s="251" t="s">
        <v>595</v>
      </c>
      <c r="B125" s="261">
        <f>[1]India!B488</f>
        <v>4379.4085736103971</v>
      </c>
      <c r="C125" s="256">
        <f>[1]India!C488</f>
        <v>1.5171112258819539E-2</v>
      </c>
      <c r="D125" s="261">
        <v>25</v>
      </c>
    </row>
    <row r="126" spans="1:4" x14ac:dyDescent="0.35">
      <c r="A126" s="251" t="s">
        <v>596</v>
      </c>
      <c r="B126" s="261">
        <f>[1]India!B489</f>
        <v>4379.4085736103971</v>
      </c>
      <c r="C126" s="256">
        <f>[1]India!C489</f>
        <v>1.5171112258819539E-2</v>
      </c>
      <c r="D126" s="261">
        <v>25</v>
      </c>
    </row>
    <row r="127" spans="1:4" x14ac:dyDescent="0.35">
      <c r="A127" s="251" t="s">
        <v>597</v>
      </c>
      <c r="B127" s="260">
        <f>[1]India!B490</f>
        <v>3066</v>
      </c>
      <c r="C127" s="247">
        <f>[1]India!C490</f>
        <v>0.3</v>
      </c>
      <c r="D127" s="261">
        <v>25</v>
      </c>
    </row>
    <row r="128" spans="1:4" x14ac:dyDescent="0.35">
      <c r="A128" s="251" t="s">
        <v>598</v>
      </c>
      <c r="B128" s="260">
        <f>[1]India!B491</f>
        <v>3066</v>
      </c>
      <c r="C128" s="247">
        <f>[1]India!C491</f>
        <v>0.3</v>
      </c>
      <c r="D128" s="261">
        <v>25</v>
      </c>
    </row>
    <row r="129" spans="1:4" x14ac:dyDescent="0.35">
      <c r="A129" s="251" t="s">
        <v>599</v>
      </c>
      <c r="B129" s="260">
        <f>[1]India!B492</f>
        <v>3066</v>
      </c>
      <c r="C129" s="247">
        <f>[1]India!C492</f>
        <v>0.3</v>
      </c>
      <c r="D129" s="261">
        <v>25</v>
      </c>
    </row>
    <row r="130" spans="1:4" x14ac:dyDescent="0.35">
      <c r="A130" s="251" t="s">
        <v>600</v>
      </c>
      <c r="B130" s="260">
        <f>[1]India!B493</f>
        <v>3066</v>
      </c>
      <c r="C130" s="247">
        <f>[1]India!C493</f>
        <v>0.3</v>
      </c>
      <c r="D130" s="261">
        <v>25</v>
      </c>
    </row>
    <row r="131" spans="1:4" x14ac:dyDescent="0.35">
      <c r="A131" s="251" t="s">
        <v>601</v>
      </c>
      <c r="B131" s="260">
        <f>[1]India!B494</f>
        <v>3066</v>
      </c>
      <c r="C131" s="247">
        <f>[1]India!C494</f>
        <v>0.3</v>
      </c>
      <c r="D131" s="261">
        <v>25</v>
      </c>
    </row>
    <row r="132" spans="1:4" x14ac:dyDescent="0.35">
      <c r="A132" s="251" t="s">
        <v>602</v>
      </c>
      <c r="B132" s="260">
        <f>[1]India!B495</f>
        <v>3066</v>
      </c>
      <c r="C132" s="247">
        <f>[1]India!C495</f>
        <v>0.3</v>
      </c>
      <c r="D132" s="261">
        <v>25</v>
      </c>
    </row>
    <row r="133" spans="1:4" x14ac:dyDescent="0.35">
      <c r="A133" s="251" t="s">
        <v>603</v>
      </c>
      <c r="B133" s="260">
        <f>[1]India!B496</f>
        <v>3066</v>
      </c>
      <c r="C133" s="247">
        <f>[1]India!C496</f>
        <v>0.3</v>
      </c>
      <c r="D133" s="261">
        <v>25</v>
      </c>
    </row>
    <row r="134" spans="1:4" x14ac:dyDescent="0.35">
      <c r="A134" s="251" t="s">
        <v>604</v>
      </c>
      <c r="B134" s="261">
        <f>[1]India!B497</f>
        <v>4884.5182866231526</v>
      </c>
      <c r="C134" s="256">
        <f>[1]India!C497</f>
        <v>1.5171112258819539E-2</v>
      </c>
      <c r="D134" s="261">
        <v>25</v>
      </c>
    </row>
    <row r="135" spans="1:4" x14ac:dyDescent="0.35">
      <c r="A135" s="251" t="s">
        <v>605</v>
      </c>
      <c r="B135" s="261">
        <f>[1]India!B498</f>
        <v>4884.5182866231526</v>
      </c>
      <c r="C135" s="256">
        <f>[1]India!C498</f>
        <v>1.5171112258819539E-2</v>
      </c>
      <c r="D135" s="261">
        <v>25</v>
      </c>
    </row>
    <row r="136" spans="1:4" x14ac:dyDescent="0.35">
      <c r="A136" s="251" t="s">
        <v>453</v>
      </c>
      <c r="B136" s="261">
        <f>[1]India!B499</f>
        <v>3831.3865659907642</v>
      </c>
      <c r="C136" s="256">
        <f>[1]India!C499</f>
        <v>9.6083410786124659E-2</v>
      </c>
      <c r="D136" s="261">
        <v>25</v>
      </c>
    </row>
    <row r="137" spans="1:4" x14ac:dyDescent="0.35">
      <c r="A137" s="251" t="s">
        <v>466</v>
      </c>
      <c r="B137" s="261">
        <f>[1]India!B500</f>
        <v>3831.3865659907642</v>
      </c>
      <c r="C137" s="256">
        <f>[1]India!C500</f>
        <v>9.6083410786124659E-2</v>
      </c>
      <c r="D137" s="261">
        <v>25</v>
      </c>
    </row>
    <row r="138" spans="1:4" x14ac:dyDescent="0.35">
      <c r="A138" s="251" t="s">
        <v>463</v>
      </c>
      <c r="B138" s="261">
        <f>[1]India!B501</f>
        <v>7246.20589417479</v>
      </c>
      <c r="C138" s="256">
        <f>[1]India!C501</f>
        <v>9.333863575612833E-2</v>
      </c>
      <c r="D138" s="261">
        <v>25</v>
      </c>
    </row>
    <row r="139" spans="1:4" x14ac:dyDescent="0.35">
      <c r="A139" s="251" t="s">
        <v>457</v>
      </c>
      <c r="B139" s="294">
        <f>'[4]Empiric Full-load-hours'!E179</f>
        <v>3185.921724539468</v>
      </c>
      <c r="C139" s="256">
        <f>[1]India!C502</f>
        <v>1.0986572719598461E-2</v>
      </c>
      <c r="D139" s="261">
        <v>100</v>
      </c>
    </row>
    <row r="140" spans="1:4" x14ac:dyDescent="0.35">
      <c r="A140" s="251" t="s">
        <v>456</v>
      </c>
      <c r="B140" s="294">
        <f>'[4]Empiric Full-load-hours'!E180</f>
        <v>3185.9217245394684</v>
      </c>
      <c r="C140" s="256">
        <f>[1]India!C503</f>
        <v>1.5898851968761604E-2</v>
      </c>
      <c r="D140" s="261">
        <v>100</v>
      </c>
    </row>
    <row r="141" spans="1:4" x14ac:dyDescent="0.35">
      <c r="A141" s="251" t="s">
        <v>454</v>
      </c>
      <c r="B141" s="261">
        <f>[1]India!B504</f>
        <v>2976.2757638909829</v>
      </c>
      <c r="C141" s="256">
        <f>[1]India!C504</f>
        <v>2.2268660400972043E-2</v>
      </c>
      <c r="D141" s="261">
        <v>25</v>
      </c>
    </row>
    <row r="142" spans="1:4" x14ac:dyDescent="0.35">
      <c r="A142" s="251" t="s">
        <v>467</v>
      </c>
      <c r="B142" s="261">
        <f>[1]India!B505</f>
        <v>2976.2757638909829</v>
      </c>
      <c r="C142" s="256">
        <f>[1]India!C505</f>
        <v>2.2268660400972043E-2</v>
      </c>
      <c r="D142" s="261">
        <v>25</v>
      </c>
    </row>
    <row r="143" spans="1:4" x14ac:dyDescent="0.35">
      <c r="A143" s="251" t="s">
        <v>458</v>
      </c>
      <c r="B143" s="261">
        <f>[1]India!B506</f>
        <v>7045.7948769219884</v>
      </c>
      <c r="C143" s="256">
        <f>[1]India!C506</f>
        <v>7.6517970764594908E-3</v>
      </c>
      <c r="D143" s="261">
        <v>100</v>
      </c>
    </row>
    <row r="144" spans="1:4" x14ac:dyDescent="0.35">
      <c r="A144" s="251" t="s">
        <v>459</v>
      </c>
      <c r="B144" s="261">
        <f>[1]India!B507</f>
        <v>2107.497758280615</v>
      </c>
      <c r="C144" s="256">
        <f>[1]India!C507</f>
        <v>1.5379854629415024E-3</v>
      </c>
      <c r="D144" s="261">
        <v>25</v>
      </c>
    </row>
    <row r="145" spans="1:4" x14ac:dyDescent="0.35">
      <c r="A145" s="251" t="s">
        <v>460</v>
      </c>
      <c r="B145" s="294">
        <f>'[4]Empiric Full-load-hours'!E181</f>
        <v>1144.1698750567682</v>
      </c>
      <c r="C145" s="256">
        <f>[1]India!C508</f>
        <v>0.83770491803278679</v>
      </c>
      <c r="D145" s="261">
        <v>25</v>
      </c>
    </row>
    <row r="146" spans="1:4" x14ac:dyDescent="0.35">
      <c r="A146" s="251" t="s">
        <v>462</v>
      </c>
      <c r="B146" s="294">
        <f>'[4]Empiric Full-load-hours'!E182</f>
        <v>1526.7046812171664</v>
      </c>
      <c r="C146" s="256">
        <f>[1]India!C509</f>
        <v>0.52027951642487902</v>
      </c>
      <c r="D146" s="261">
        <v>30</v>
      </c>
    </row>
    <row r="147" spans="1:4" x14ac:dyDescent="0.35">
      <c r="A147" s="251" t="s">
        <v>461</v>
      </c>
      <c r="B147" s="294">
        <f>'[4]Empiric Full-load-hours'!E183</f>
        <v>1526.7075694259925</v>
      </c>
      <c r="C147" s="256">
        <f>[1]India!C510</f>
        <v>0.52027951642487902</v>
      </c>
      <c r="D147" s="261">
        <v>30</v>
      </c>
    </row>
    <row r="148" spans="1:4" x14ac:dyDescent="0.35">
      <c r="A148" s="251" t="s">
        <v>606</v>
      </c>
      <c r="B148" s="261">
        <f>[1]India!B511</f>
        <v>4884.5182866231526</v>
      </c>
      <c r="C148" s="256">
        <f>[1]India!C511</f>
        <v>1.9392258320443133E-2</v>
      </c>
      <c r="D148" s="261">
        <v>25</v>
      </c>
    </row>
    <row r="149" spans="1:4" x14ac:dyDescent="0.35">
      <c r="A149" s="251" t="s">
        <v>607</v>
      </c>
      <c r="B149" s="261">
        <f>[1]India!B512</f>
        <v>4884.5182866231526</v>
      </c>
      <c r="C149" s="256">
        <f>[1]India!C512</f>
        <v>1.9392258320443133E-2</v>
      </c>
      <c r="D149" s="261">
        <v>25</v>
      </c>
    </row>
    <row r="150" spans="1:4" x14ac:dyDescent="0.35">
      <c r="A150" s="251" t="s">
        <v>455</v>
      </c>
      <c r="B150" s="261">
        <f>[1]India!B513</f>
        <v>6657.1625159193409</v>
      </c>
      <c r="C150" s="256">
        <f>[1]India!C513</f>
        <v>0.10596782612670605</v>
      </c>
      <c r="D150" s="261">
        <v>25</v>
      </c>
    </row>
    <row r="151" spans="1:4" x14ac:dyDescent="0.35">
      <c r="A151" s="251" t="s">
        <v>468</v>
      </c>
      <c r="B151" s="261">
        <f>[1]India!B514</f>
        <v>6657.1625159193409</v>
      </c>
      <c r="C151" s="256">
        <f>[1]India!C514</f>
        <v>0.10596782612670605</v>
      </c>
      <c r="D151" s="261">
        <v>25</v>
      </c>
    </row>
    <row r="152" spans="1:4" x14ac:dyDescent="0.35">
      <c r="A152" s="251" t="s">
        <v>465</v>
      </c>
      <c r="B152" s="294">
        <f>'[4]Empiric Full-load-hours'!E184</f>
        <v>3359.2067542755108</v>
      </c>
      <c r="C152" s="256">
        <f>[1]India!C515</f>
        <v>9.3786973448175603E-2</v>
      </c>
      <c r="D152" s="261">
        <v>30</v>
      </c>
    </row>
    <row r="153" spans="1:4" x14ac:dyDescent="0.35">
      <c r="A153" s="251" t="s">
        <v>464</v>
      </c>
      <c r="B153" s="294">
        <f>'[4]Empiric Full-load-hours'!E185</f>
        <v>1810.8081987399696</v>
      </c>
      <c r="C153" s="256">
        <f>[1]India!C516</f>
        <v>0.26371592565113777</v>
      </c>
      <c r="D153" s="261">
        <v>30</v>
      </c>
    </row>
    <row r="154" spans="1:4" x14ac:dyDescent="0.35">
      <c r="A154" s="251" t="s">
        <v>608</v>
      </c>
      <c r="B154" s="260">
        <v>8760</v>
      </c>
      <c r="C154" s="247">
        <f>[1]India!C517</f>
        <v>1</v>
      </c>
      <c r="D154" s="247">
        <v>1000000</v>
      </c>
    </row>
    <row r="155" spans="1:4" x14ac:dyDescent="0.35">
      <c r="A155" s="251" t="s">
        <v>609</v>
      </c>
      <c r="B155" s="260">
        <v>8760</v>
      </c>
      <c r="C155" s="247">
        <f>[1]India!C518</f>
        <v>1</v>
      </c>
      <c r="D155" s="247">
        <v>1000000</v>
      </c>
    </row>
    <row r="156" spans="1:4" x14ac:dyDescent="0.35">
      <c r="A156" s="251" t="s">
        <v>610</v>
      </c>
      <c r="B156" s="260">
        <v>8760</v>
      </c>
      <c r="C156" s="247">
        <f>[1]India!C519</f>
        <v>1</v>
      </c>
      <c r="D156" s="247">
        <v>1000000</v>
      </c>
    </row>
    <row r="157" spans="1:4" x14ac:dyDescent="0.35">
      <c r="A157" s="251" t="s">
        <v>611</v>
      </c>
      <c r="B157" s="260">
        <v>8760</v>
      </c>
      <c r="C157" s="247">
        <f>[1]India!C520</f>
        <v>1</v>
      </c>
      <c r="D157" s="247">
        <v>1000000</v>
      </c>
    </row>
    <row r="158" spans="1:4" x14ac:dyDescent="0.35">
      <c r="A158" s="251" t="s">
        <v>612</v>
      </c>
      <c r="B158" s="260">
        <v>8760</v>
      </c>
      <c r="C158" s="247">
        <f>[1]India!C521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gion5"/>
  <dimension ref="A3:P158"/>
  <sheetViews>
    <sheetView topLeftCell="A31" zoomScale="55" zoomScaleNormal="55" workbookViewId="0">
      <selection activeCell="G66" sqref="G66"/>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5" t="s">
        <v>550</v>
      </c>
      <c r="B3" s="305"/>
      <c r="C3" s="305"/>
      <c r="D3" s="305"/>
      <c r="E3" s="305"/>
      <c r="F3" s="305"/>
      <c r="G3" s="305"/>
      <c r="H3" s="305"/>
      <c r="I3" s="305"/>
    </row>
    <row r="5" spans="1:9" ht="29" x14ac:dyDescent="0.35">
      <c r="A5" s="255" t="s">
        <v>385</v>
      </c>
      <c r="B5" s="265" t="s">
        <v>493</v>
      </c>
    </row>
    <row r="6" spans="1:9" x14ac:dyDescent="0.35">
      <c r="A6" s="248" t="s">
        <v>423</v>
      </c>
      <c r="B6" s="266" t="s">
        <v>419</v>
      </c>
    </row>
    <row r="7" spans="1:9" x14ac:dyDescent="0.35">
      <c r="A7" s="251" t="s">
        <v>490</v>
      </c>
      <c r="B7" s="256">
        <v>0.15985018738263226</v>
      </c>
    </row>
    <row r="8" spans="1:9" x14ac:dyDescent="0.35">
      <c r="A8" s="251" t="s">
        <v>491</v>
      </c>
      <c r="B8" s="256">
        <v>3.589654330391711E-2</v>
      </c>
    </row>
    <row r="9" spans="1:9" x14ac:dyDescent="0.35">
      <c r="A9" s="251" t="s">
        <v>492</v>
      </c>
      <c r="B9" s="256">
        <v>0</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3.9190123996005841E-2</v>
      </c>
    </row>
    <row r="20" spans="1:16" x14ac:dyDescent="0.35">
      <c r="A20" s="251" t="s">
        <v>487</v>
      </c>
      <c r="B20" s="250">
        <v>0.1406389182750245</v>
      </c>
    </row>
    <row r="21" spans="1:16" x14ac:dyDescent="0.35">
      <c r="A21" s="251" t="s">
        <v>488</v>
      </c>
      <c r="B21" s="250">
        <v>0</v>
      </c>
    </row>
    <row r="22" spans="1:16" x14ac:dyDescent="0.35">
      <c r="A22" s="251" t="s">
        <v>489</v>
      </c>
      <c r="B22" s="250">
        <v>4.2122620686557664E-2</v>
      </c>
    </row>
    <row r="23" spans="1:16" x14ac:dyDescent="0.35">
      <c r="A23" s="251" t="s">
        <v>579</v>
      </c>
      <c r="B23" s="250">
        <v>4.753432549485348E-2</v>
      </c>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645</v>
      </c>
    </row>
    <row r="28" spans="1:16" x14ac:dyDescent="0.35">
      <c r="A28" s="251" t="s">
        <v>498</v>
      </c>
      <c r="B28" s="285">
        <v>4.7676826627317093E-2</v>
      </c>
      <c r="C28" s="250">
        <v>0.95232317337268291</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4.7676826627317093E-2</v>
      </c>
      <c r="C29" s="250">
        <v>0.95232317337268291</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0</v>
      </c>
      <c r="H31" s="250">
        <v>1</v>
      </c>
      <c r="I31" s="247">
        <v>0</v>
      </c>
      <c r="J31" s="247">
        <v>0</v>
      </c>
      <c r="K31" s="247">
        <v>0</v>
      </c>
      <c r="L31" s="247">
        <v>0</v>
      </c>
      <c r="M31" s="247">
        <v>0</v>
      </c>
      <c r="N31" s="247">
        <v>0</v>
      </c>
      <c r="O31" s="247">
        <v>0</v>
      </c>
      <c r="P31" s="246">
        <f t="shared" si="0"/>
        <v>1</v>
      </c>
    </row>
    <row r="32" spans="1:16" x14ac:dyDescent="0.35">
      <c r="A32" s="251" t="s">
        <v>588</v>
      </c>
      <c r="B32" s="247">
        <v>0</v>
      </c>
      <c r="C32" s="247">
        <v>0</v>
      </c>
      <c r="D32" s="247">
        <v>0</v>
      </c>
      <c r="E32" s="247">
        <v>0</v>
      </c>
      <c r="F32" s="247">
        <v>0</v>
      </c>
      <c r="G32" s="285">
        <v>0</v>
      </c>
      <c r="H32" s="250">
        <v>1</v>
      </c>
      <c r="I32" s="247">
        <v>0</v>
      </c>
      <c r="J32" s="247">
        <v>0</v>
      </c>
      <c r="K32" s="247">
        <v>0</v>
      </c>
      <c r="L32" s="247">
        <v>0</v>
      </c>
      <c r="M32" s="247">
        <v>0</v>
      </c>
      <c r="N32" s="247">
        <v>0</v>
      </c>
      <c r="O32" s="247">
        <v>0</v>
      </c>
      <c r="P32" s="246">
        <f t="shared" si="0"/>
        <v>1</v>
      </c>
    </row>
    <row r="33" spans="1:16" x14ac:dyDescent="0.35">
      <c r="A33" s="251" t="s">
        <v>580</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581</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583</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589</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0</v>
      </c>
      <c r="C38" s="250">
        <v>1</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582</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v>
      </c>
      <c r="H41" s="250">
        <v>1</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587</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584</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590</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3.3871992356665891E-3</v>
      </c>
      <c r="C47" s="250">
        <v>0.99661280076433345</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3.3871992356665891E-3</v>
      </c>
      <c r="C48" s="250">
        <v>0.99661280076433345</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1.1951924603817429E-2</v>
      </c>
      <c r="H52" s="250">
        <v>0.98804807539618256</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1.1951924603817429E-2</v>
      </c>
      <c r="H53" s="250">
        <v>0.98804807539618256</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644</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585</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586</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6.4914967387391647E-3</v>
      </c>
      <c r="C65" s="250">
        <v>0.99350850326126083</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591</v>
      </c>
      <c r="B66" s="247">
        <v>0</v>
      </c>
      <c r="C66" s="247">
        <v>0</v>
      </c>
      <c r="D66" s="247">
        <v>0</v>
      </c>
      <c r="E66" s="247">
        <v>0</v>
      </c>
      <c r="F66" s="247">
        <v>0</v>
      </c>
      <c r="G66" s="285">
        <v>3.1308354609984441E-2</v>
      </c>
      <c r="H66" s="250">
        <v>0.96869164539001551</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[2]EXPORT_PROREF_ouput_share!$AJ$27</f>
        <v>5.3489586662823475E-2</v>
      </c>
      <c r="D74" s="256">
        <f>[2]EXPORT_PROREF_ouput_share!$AJ$28</f>
        <v>0.24311495125224475</v>
      </c>
      <c r="E74" s="247">
        <v>0</v>
      </c>
      <c r="F74" s="247">
        <v>0</v>
      </c>
      <c r="G74" s="256">
        <f>[2]EXPORT_PROREF_ouput_share!$AJ$29</f>
        <v>0.70339546208493176</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[3]EXPORT_PROCESS_TRANSFORMATION!AI43</f>
        <v>0.76098099453164048</v>
      </c>
    </row>
    <row r="92" spans="1:15" x14ac:dyDescent="0.35">
      <c r="A92" s="251" t="s">
        <v>530</v>
      </c>
      <c r="B92" s="250">
        <f>[3]EXPORT_PROCESS_TRANSFORMATION!AI44</f>
        <v>0.97466421017974192</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5" t="s">
        <v>546</v>
      </c>
      <c r="B105" s="305"/>
      <c r="C105" s="305"/>
      <c r="D105" s="305"/>
      <c r="E105" s="305"/>
      <c r="F105" s="305"/>
      <c r="G105" s="305"/>
      <c r="H105" s="305"/>
      <c r="I105" s="305"/>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659</v>
      </c>
    </row>
    <row r="116" spans="1:4" x14ac:dyDescent="0.35">
      <c r="A116" s="83" t="s">
        <v>421</v>
      </c>
      <c r="B116" s="259" t="s">
        <v>547</v>
      </c>
      <c r="C116" s="253" t="s">
        <v>419</v>
      </c>
      <c r="D116" s="253" t="s">
        <v>226</v>
      </c>
    </row>
    <row r="117" spans="1:4" x14ac:dyDescent="0.35">
      <c r="A117" s="251" t="s">
        <v>448</v>
      </c>
      <c r="B117" s="261">
        <f>[1]LATAM!B480</f>
        <v>4590.9629013034546</v>
      </c>
      <c r="C117" s="256">
        <f>[1]LATAM!C480</f>
        <v>6.2638890322837842E-2</v>
      </c>
      <c r="D117" s="261">
        <v>25</v>
      </c>
    </row>
    <row r="118" spans="1:4" x14ac:dyDescent="0.35">
      <c r="A118" s="251" t="s">
        <v>452</v>
      </c>
      <c r="B118" s="261">
        <f>[1]LATAM!B481</f>
        <v>4590.9629013034546</v>
      </c>
      <c r="C118" s="256">
        <f>[1]LATAM!C481</f>
        <v>6.2638890322837842E-2</v>
      </c>
      <c r="D118" s="261">
        <v>25</v>
      </c>
    </row>
    <row r="119" spans="1:4" x14ac:dyDescent="0.35">
      <c r="A119" s="251" t="s">
        <v>449</v>
      </c>
      <c r="B119" s="261">
        <f>[1]LATAM!B482</f>
        <v>7246.20589417479</v>
      </c>
      <c r="C119" s="256">
        <f>[1]LATAM!C482</f>
        <v>0.24399920288592691</v>
      </c>
      <c r="D119" s="261">
        <v>25</v>
      </c>
    </row>
    <row r="120" spans="1:4" x14ac:dyDescent="0.35">
      <c r="A120" s="251" t="s">
        <v>451</v>
      </c>
      <c r="B120" s="261">
        <f>[1]LATAM!B483</f>
        <v>3491.5272463147139</v>
      </c>
      <c r="C120" s="256">
        <f>[1]LATAM!C483</f>
        <v>1.1385152217448288E-2</v>
      </c>
      <c r="D120" s="261">
        <v>25</v>
      </c>
    </row>
    <row r="121" spans="1:4" x14ac:dyDescent="0.35">
      <c r="A121" s="251" t="s">
        <v>592</v>
      </c>
      <c r="B121" s="261">
        <f>[1]LATAM!B484</f>
        <v>3491.5272463147139</v>
      </c>
      <c r="C121" s="256">
        <f>[1]LATAM!C484</f>
        <v>1.1385152217448288E-2</v>
      </c>
      <c r="D121" s="261">
        <v>25</v>
      </c>
    </row>
    <row r="122" spans="1:4" x14ac:dyDescent="0.35">
      <c r="A122" s="251" t="s">
        <v>593</v>
      </c>
      <c r="B122" s="261">
        <f>[1]LATAM!B485</f>
        <v>4379.4085736103971</v>
      </c>
      <c r="C122" s="256">
        <f>[1]LATAM!C485</f>
        <v>1.5171112258819539E-2</v>
      </c>
      <c r="D122" s="261">
        <v>25</v>
      </c>
    </row>
    <row r="123" spans="1:4" x14ac:dyDescent="0.35">
      <c r="A123" s="251" t="s">
        <v>594</v>
      </c>
      <c r="B123" s="261">
        <f>[1]LATAM!B486</f>
        <v>4379.4085736103971</v>
      </c>
      <c r="C123" s="256">
        <f>[1]LATAM!C486</f>
        <v>1.5171112258819539E-2</v>
      </c>
      <c r="D123" s="261">
        <v>25</v>
      </c>
    </row>
    <row r="124" spans="1:4" x14ac:dyDescent="0.35">
      <c r="A124" s="251" t="s">
        <v>450</v>
      </c>
      <c r="B124" s="261">
        <f>[1]LATAM!B487</f>
        <v>4794.9787473571178</v>
      </c>
      <c r="C124" s="256">
        <f>[1]LATAM!C487</f>
        <v>8.922177747532227E-2</v>
      </c>
      <c r="D124" s="261">
        <v>25</v>
      </c>
    </row>
    <row r="125" spans="1:4" x14ac:dyDescent="0.35">
      <c r="A125" s="251" t="s">
        <v>595</v>
      </c>
      <c r="B125" s="261">
        <f>[1]LATAM!B488</f>
        <v>4379.4085736103971</v>
      </c>
      <c r="C125" s="256">
        <f>[1]LATAM!C488</f>
        <v>1.5171112258819539E-2</v>
      </c>
      <c r="D125" s="261">
        <v>25</v>
      </c>
    </row>
    <row r="126" spans="1:4" x14ac:dyDescent="0.35">
      <c r="A126" s="251" t="s">
        <v>596</v>
      </c>
      <c r="B126" s="261">
        <f>[1]LATAM!B489</f>
        <v>4379.4085736103971</v>
      </c>
      <c r="C126" s="256">
        <f>[1]LATAM!C489</f>
        <v>1.5171112258819539E-2</v>
      </c>
      <c r="D126" s="261">
        <v>25</v>
      </c>
    </row>
    <row r="127" spans="1:4" x14ac:dyDescent="0.35">
      <c r="A127" s="251" t="s">
        <v>597</v>
      </c>
      <c r="B127" s="260">
        <f>[1]LATAM!B490</f>
        <v>3066</v>
      </c>
      <c r="C127" s="247">
        <f>[1]LATAM!C490</f>
        <v>0.3</v>
      </c>
      <c r="D127" s="261">
        <v>25</v>
      </c>
    </row>
    <row r="128" spans="1:4" x14ac:dyDescent="0.35">
      <c r="A128" s="251" t="s">
        <v>598</v>
      </c>
      <c r="B128" s="260">
        <f>[1]LATAM!B491</f>
        <v>3066</v>
      </c>
      <c r="C128" s="247">
        <f>[1]LATAM!C491</f>
        <v>0.3</v>
      </c>
      <c r="D128" s="261">
        <v>25</v>
      </c>
    </row>
    <row r="129" spans="1:4" x14ac:dyDescent="0.35">
      <c r="A129" s="251" t="s">
        <v>599</v>
      </c>
      <c r="B129" s="260">
        <f>[1]LATAM!B492</f>
        <v>3066</v>
      </c>
      <c r="C129" s="247">
        <f>[1]LATAM!C492</f>
        <v>0.3</v>
      </c>
      <c r="D129" s="261">
        <v>25</v>
      </c>
    </row>
    <row r="130" spans="1:4" x14ac:dyDescent="0.35">
      <c r="A130" s="251" t="s">
        <v>600</v>
      </c>
      <c r="B130" s="260">
        <f>[1]LATAM!B493</f>
        <v>3066</v>
      </c>
      <c r="C130" s="247">
        <f>[1]LATAM!C493</f>
        <v>0.3</v>
      </c>
      <c r="D130" s="261">
        <v>25</v>
      </c>
    </row>
    <row r="131" spans="1:4" x14ac:dyDescent="0.35">
      <c r="A131" s="251" t="s">
        <v>601</v>
      </c>
      <c r="B131" s="260">
        <f>[1]LATAM!B494</f>
        <v>3066</v>
      </c>
      <c r="C131" s="247">
        <f>[1]LATAM!C494</f>
        <v>0.3</v>
      </c>
      <c r="D131" s="261">
        <v>25</v>
      </c>
    </row>
    <row r="132" spans="1:4" x14ac:dyDescent="0.35">
      <c r="A132" s="251" t="s">
        <v>602</v>
      </c>
      <c r="B132" s="260">
        <f>[1]LATAM!B495</f>
        <v>3066</v>
      </c>
      <c r="C132" s="247">
        <f>[1]LATAM!C495</f>
        <v>0.3</v>
      </c>
      <c r="D132" s="261">
        <v>25</v>
      </c>
    </row>
    <row r="133" spans="1:4" x14ac:dyDescent="0.35">
      <c r="A133" s="251" t="s">
        <v>603</v>
      </c>
      <c r="B133" s="260">
        <f>[1]LATAM!B496</f>
        <v>3066</v>
      </c>
      <c r="C133" s="247">
        <f>[1]LATAM!C496</f>
        <v>0.3</v>
      </c>
      <c r="D133" s="261">
        <v>25</v>
      </c>
    </row>
    <row r="134" spans="1:4" x14ac:dyDescent="0.35">
      <c r="A134" s="251" t="s">
        <v>604</v>
      </c>
      <c r="B134" s="261">
        <f>[1]LATAM!B497</f>
        <v>4884.5182866231526</v>
      </c>
      <c r="C134" s="256">
        <f>[1]LATAM!C497</f>
        <v>1.5171112258819539E-2</v>
      </c>
      <c r="D134" s="261">
        <v>25</v>
      </c>
    </row>
    <row r="135" spans="1:4" x14ac:dyDescent="0.35">
      <c r="A135" s="251" t="s">
        <v>605</v>
      </c>
      <c r="B135" s="261">
        <f>[1]LATAM!B498</f>
        <v>4884.5182866231526</v>
      </c>
      <c r="C135" s="256">
        <f>[1]LATAM!C498</f>
        <v>1.5171112258819539E-2</v>
      </c>
      <c r="D135" s="261">
        <v>25</v>
      </c>
    </row>
    <row r="136" spans="1:4" x14ac:dyDescent="0.35">
      <c r="A136" s="251" t="s">
        <v>453</v>
      </c>
      <c r="B136" s="261">
        <f>[1]LATAM!B499</f>
        <v>3831.3865659907642</v>
      </c>
      <c r="C136" s="256">
        <f>[1]LATAM!C499</f>
        <v>9.6083410786124659E-2</v>
      </c>
      <c r="D136" s="261">
        <v>25</v>
      </c>
    </row>
    <row r="137" spans="1:4" x14ac:dyDescent="0.35">
      <c r="A137" s="251" t="s">
        <v>466</v>
      </c>
      <c r="B137" s="261">
        <f>[1]LATAM!B500</f>
        <v>3831.3865659907642</v>
      </c>
      <c r="C137" s="256">
        <f>[1]LATAM!C500</f>
        <v>9.6083410786124659E-2</v>
      </c>
      <c r="D137" s="261">
        <v>25</v>
      </c>
    </row>
    <row r="138" spans="1:4" x14ac:dyDescent="0.35">
      <c r="A138" s="251" t="s">
        <v>463</v>
      </c>
      <c r="B138" s="261">
        <f>[1]LATAM!B501</f>
        <v>7246.20589417479</v>
      </c>
      <c r="C138" s="256">
        <f>[1]LATAM!C501</f>
        <v>9.333863575612833E-2</v>
      </c>
      <c r="D138" s="261">
        <v>25</v>
      </c>
    </row>
    <row r="139" spans="1:4" x14ac:dyDescent="0.35">
      <c r="A139" s="251" t="s">
        <v>457</v>
      </c>
      <c r="B139" s="294">
        <f>'[4]Empiric Full-load-hours'!E186</f>
        <v>3914.969063447983</v>
      </c>
      <c r="C139" s="256">
        <f>[1]LATAM!C502</f>
        <v>1.0986572719598461E-2</v>
      </c>
      <c r="D139" s="261">
        <v>100</v>
      </c>
    </row>
    <row r="140" spans="1:4" x14ac:dyDescent="0.35">
      <c r="A140" s="251" t="s">
        <v>456</v>
      </c>
      <c r="B140" s="294">
        <f>'[4]Empiric Full-load-hours'!E187</f>
        <v>3914.979499191189</v>
      </c>
      <c r="C140" s="256">
        <f>[1]LATAM!C503</f>
        <v>1.5898851968761604E-2</v>
      </c>
      <c r="D140" s="261">
        <v>100</v>
      </c>
    </row>
    <row r="141" spans="1:4" x14ac:dyDescent="0.35">
      <c r="A141" s="251" t="s">
        <v>454</v>
      </c>
      <c r="B141" s="261">
        <f>[1]LATAM!B504</f>
        <v>2976.2757638909829</v>
      </c>
      <c r="C141" s="256">
        <f>[1]LATAM!C504</f>
        <v>2.2268660400972043E-2</v>
      </c>
      <c r="D141" s="261">
        <v>25</v>
      </c>
    </row>
    <row r="142" spans="1:4" x14ac:dyDescent="0.35">
      <c r="A142" s="251" t="s">
        <v>467</v>
      </c>
      <c r="B142" s="261">
        <f>[1]LATAM!B505</f>
        <v>2976.2757638909829</v>
      </c>
      <c r="C142" s="256">
        <f>[1]LATAM!C505</f>
        <v>2.2268660400972043E-2</v>
      </c>
      <c r="D142" s="261">
        <v>25</v>
      </c>
    </row>
    <row r="143" spans="1:4" x14ac:dyDescent="0.35">
      <c r="A143" s="251" t="s">
        <v>458</v>
      </c>
      <c r="B143" s="261">
        <f>[1]LATAM!B506</f>
        <v>7045.7948769219884</v>
      </c>
      <c r="C143" s="256">
        <f>[1]LATAM!C506</f>
        <v>7.6517970764594908E-3</v>
      </c>
      <c r="D143" s="261">
        <v>100</v>
      </c>
    </row>
    <row r="144" spans="1:4" x14ac:dyDescent="0.35">
      <c r="A144" s="251" t="s">
        <v>459</v>
      </c>
      <c r="B144" s="261">
        <f>[1]LATAM!B507</f>
        <v>2107.497758280615</v>
      </c>
      <c r="C144" s="256">
        <f>[1]LATAM!C507</f>
        <v>1.5379854629415024E-3</v>
      </c>
      <c r="D144" s="261">
        <v>25</v>
      </c>
    </row>
    <row r="145" spans="1:4" x14ac:dyDescent="0.35">
      <c r="A145" s="251" t="s">
        <v>460</v>
      </c>
      <c r="B145" s="294">
        <f>'[4]Empiric Full-load-hours'!E188</f>
        <v>1144.1698750567682</v>
      </c>
      <c r="C145" s="256">
        <f>[1]LATAM!C508</f>
        <v>0.83770491803278679</v>
      </c>
      <c r="D145" s="261">
        <v>25</v>
      </c>
    </row>
    <row r="146" spans="1:4" x14ac:dyDescent="0.35">
      <c r="A146" s="251" t="s">
        <v>462</v>
      </c>
      <c r="B146" s="294">
        <f>'[4]Empiric Full-load-hours'!E189</f>
        <v>1144.1698750567682</v>
      </c>
      <c r="C146" s="256">
        <f>[1]LATAM!C509</f>
        <v>0.52027951642487902</v>
      </c>
      <c r="D146" s="261">
        <v>30</v>
      </c>
    </row>
    <row r="147" spans="1:4" x14ac:dyDescent="0.35">
      <c r="A147" s="251" t="s">
        <v>461</v>
      </c>
      <c r="B147" s="294">
        <f>'[4]Empiric Full-load-hours'!E190</f>
        <v>1144.1729170184008</v>
      </c>
      <c r="C147" s="256">
        <f>[1]LATAM!C510</f>
        <v>0.52027951642487902</v>
      </c>
      <c r="D147" s="261">
        <v>30</v>
      </c>
    </row>
    <row r="148" spans="1:4" x14ac:dyDescent="0.35">
      <c r="A148" s="251" t="s">
        <v>606</v>
      </c>
      <c r="B148" s="261">
        <f>[1]LATAM!B511</f>
        <v>4884.5182866231526</v>
      </c>
      <c r="C148" s="256">
        <f>[1]LATAM!C511</f>
        <v>1.9392258320443133E-2</v>
      </c>
      <c r="D148" s="261">
        <v>25</v>
      </c>
    </row>
    <row r="149" spans="1:4" x14ac:dyDescent="0.35">
      <c r="A149" s="251" t="s">
        <v>607</v>
      </c>
      <c r="B149" s="261">
        <f>[1]LATAM!B512</f>
        <v>4884.5182866231526</v>
      </c>
      <c r="C149" s="256">
        <f>[1]LATAM!C512</f>
        <v>1.9392258320443133E-2</v>
      </c>
      <c r="D149" s="261">
        <v>25</v>
      </c>
    </row>
    <row r="150" spans="1:4" x14ac:dyDescent="0.35">
      <c r="A150" s="251" t="s">
        <v>455</v>
      </c>
      <c r="B150" s="261">
        <f>[1]LATAM!B513</f>
        <v>6657.1625159193409</v>
      </c>
      <c r="C150" s="256">
        <f>[1]LATAM!C513</f>
        <v>0.10596782612670605</v>
      </c>
      <c r="D150" s="261">
        <v>25</v>
      </c>
    </row>
    <row r="151" spans="1:4" x14ac:dyDescent="0.35">
      <c r="A151" s="251" t="s">
        <v>468</v>
      </c>
      <c r="B151" s="261">
        <f>[1]LATAM!B514</f>
        <v>6657.1625159193409</v>
      </c>
      <c r="C151" s="256">
        <f>[1]LATAM!C514</f>
        <v>0.10596782612670605</v>
      </c>
      <c r="D151" s="261">
        <v>25</v>
      </c>
    </row>
    <row r="152" spans="1:4" x14ac:dyDescent="0.35">
      <c r="A152" s="251" t="s">
        <v>465</v>
      </c>
      <c r="B152" s="294">
        <f>'[4]Empiric Full-load-hours'!E191</f>
        <v>3359.2067542755108</v>
      </c>
      <c r="C152" s="256">
        <f>[1]LATAM!C515</f>
        <v>9.3786973448175603E-2</v>
      </c>
      <c r="D152" s="261">
        <v>30</v>
      </c>
    </row>
    <row r="153" spans="1:4" x14ac:dyDescent="0.35">
      <c r="A153" s="251" t="s">
        <v>464</v>
      </c>
      <c r="B153" s="294">
        <f>'[4]Empiric Full-load-hours'!E192</f>
        <v>2815.9904001397595</v>
      </c>
      <c r="C153" s="256">
        <f>[1]LATAM!C516</f>
        <v>0.26371592565113777</v>
      </c>
      <c r="D153" s="261">
        <v>30</v>
      </c>
    </row>
    <row r="154" spans="1:4" x14ac:dyDescent="0.35">
      <c r="A154" s="251" t="s">
        <v>608</v>
      </c>
      <c r="B154" s="260">
        <v>8760</v>
      </c>
      <c r="C154" s="247">
        <f>[1]LATAM!C517</f>
        <v>1</v>
      </c>
      <c r="D154" s="247">
        <v>1000000</v>
      </c>
    </row>
    <row r="155" spans="1:4" x14ac:dyDescent="0.35">
      <c r="A155" s="251" t="s">
        <v>609</v>
      </c>
      <c r="B155" s="260">
        <v>8760</v>
      </c>
      <c r="C155" s="247">
        <f>[1]LATAM!C518</f>
        <v>1</v>
      </c>
      <c r="D155" s="247">
        <v>1000000</v>
      </c>
    </row>
    <row r="156" spans="1:4" x14ac:dyDescent="0.35">
      <c r="A156" s="251" t="s">
        <v>610</v>
      </c>
      <c r="B156" s="260">
        <v>8760</v>
      </c>
      <c r="C156" s="247">
        <f>[1]LATAM!C519</f>
        <v>1</v>
      </c>
      <c r="D156" s="247">
        <v>1000000</v>
      </c>
    </row>
    <row r="157" spans="1:4" x14ac:dyDescent="0.35">
      <c r="A157" s="251" t="s">
        <v>611</v>
      </c>
      <c r="B157" s="260">
        <v>8760</v>
      </c>
      <c r="C157" s="247">
        <f>[1]LATAM!C520</f>
        <v>1</v>
      </c>
      <c r="D157" s="247">
        <v>1000000</v>
      </c>
    </row>
    <row r="158" spans="1:4" x14ac:dyDescent="0.35">
      <c r="A158" s="251" t="s">
        <v>612</v>
      </c>
      <c r="B158" s="260">
        <v>8760</v>
      </c>
      <c r="C158" s="247">
        <f>[1]LATAM!C521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gion7"/>
  <dimension ref="A3:P158"/>
  <sheetViews>
    <sheetView topLeftCell="A35" zoomScale="55" zoomScaleNormal="55" workbookViewId="0">
      <selection activeCell="I66" sqref="I66"/>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5" t="s">
        <v>550</v>
      </c>
      <c r="B3" s="305"/>
      <c r="C3" s="305"/>
      <c r="D3" s="305"/>
      <c r="E3" s="305"/>
      <c r="F3" s="305"/>
      <c r="G3" s="305"/>
      <c r="H3" s="305"/>
      <c r="I3" s="305"/>
    </row>
    <row r="5" spans="1:9" ht="29" x14ac:dyDescent="0.35">
      <c r="A5" s="255" t="s">
        <v>385</v>
      </c>
      <c r="B5" s="265" t="s">
        <v>493</v>
      </c>
    </row>
    <row r="6" spans="1:9" x14ac:dyDescent="0.35">
      <c r="A6" s="248" t="s">
        <v>423</v>
      </c>
      <c r="B6" s="266" t="s">
        <v>419</v>
      </c>
    </row>
    <row r="7" spans="1:9" x14ac:dyDescent="0.35">
      <c r="A7" s="251" t="s">
        <v>490</v>
      </c>
      <c r="B7" s="256">
        <v>0.14549678232558888</v>
      </c>
    </row>
    <row r="8" spans="1:9" x14ac:dyDescent="0.35">
      <c r="A8" s="251" t="s">
        <v>491</v>
      </c>
      <c r="B8" s="256">
        <v>3.7532892543565212E-2</v>
      </c>
    </row>
    <row r="9" spans="1:9" x14ac:dyDescent="0.35">
      <c r="A9" s="251" t="s">
        <v>492</v>
      </c>
      <c r="B9" s="256">
        <v>8.0666172773736E-2</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0.14318471245484107</v>
      </c>
    </row>
    <row r="20" spans="1:16" x14ac:dyDescent="0.35">
      <c r="A20" s="251" t="s">
        <v>487</v>
      </c>
      <c r="B20" s="250">
        <v>2.0589978746005173E-2</v>
      </c>
    </row>
    <row r="21" spans="1:16" x14ac:dyDescent="0.35">
      <c r="A21" s="251" t="s">
        <v>488</v>
      </c>
      <c r="B21" s="250">
        <v>8.926351685062793E-2</v>
      </c>
    </row>
    <row r="22" spans="1:16" x14ac:dyDescent="0.35">
      <c r="A22" s="251" t="s">
        <v>489</v>
      </c>
      <c r="B22" s="250">
        <v>0.1033560415923718</v>
      </c>
    </row>
    <row r="23" spans="1:16" x14ac:dyDescent="0.35">
      <c r="A23" s="251" t="s">
        <v>579</v>
      </c>
      <c r="B23" s="250">
        <v>5.7646007250563208E-2</v>
      </c>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645</v>
      </c>
    </row>
    <row r="28" spans="1:16" x14ac:dyDescent="0.35">
      <c r="A28" s="251" t="s">
        <v>498</v>
      </c>
      <c r="B28" s="285">
        <v>0</v>
      </c>
      <c r="C28" s="250">
        <v>1</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0</v>
      </c>
      <c r="C29" s="250">
        <v>1</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0</v>
      </c>
      <c r="H31" s="250">
        <v>1</v>
      </c>
      <c r="I31" s="247">
        <v>0</v>
      </c>
      <c r="J31" s="247">
        <v>0</v>
      </c>
      <c r="K31" s="247">
        <v>0</v>
      </c>
      <c r="L31" s="247">
        <v>0</v>
      </c>
      <c r="M31" s="247">
        <v>0</v>
      </c>
      <c r="N31" s="247">
        <v>0</v>
      </c>
      <c r="O31" s="247">
        <v>0</v>
      </c>
      <c r="P31" s="246">
        <f t="shared" si="0"/>
        <v>1</v>
      </c>
    </row>
    <row r="32" spans="1:16" x14ac:dyDescent="0.35">
      <c r="A32" s="251" t="s">
        <v>588</v>
      </c>
      <c r="B32" s="247">
        <v>0</v>
      </c>
      <c r="C32" s="247">
        <v>0</v>
      </c>
      <c r="D32" s="247">
        <v>0</v>
      </c>
      <c r="E32" s="247">
        <v>0</v>
      </c>
      <c r="F32" s="247">
        <v>0</v>
      </c>
      <c r="G32" s="285">
        <v>0</v>
      </c>
      <c r="H32" s="250">
        <v>1</v>
      </c>
      <c r="I32" s="247">
        <v>0</v>
      </c>
      <c r="J32" s="247">
        <v>0</v>
      </c>
      <c r="K32" s="247">
        <v>0</v>
      </c>
      <c r="L32" s="247">
        <v>0</v>
      </c>
      <c r="M32" s="247">
        <v>0</v>
      </c>
      <c r="N32" s="247">
        <v>0</v>
      </c>
      <c r="O32" s="247">
        <v>0</v>
      </c>
      <c r="P32" s="246">
        <f t="shared" si="0"/>
        <v>1</v>
      </c>
    </row>
    <row r="33" spans="1:16" x14ac:dyDescent="0.35">
      <c r="A33" s="251" t="s">
        <v>580</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581</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583</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589</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0</v>
      </c>
      <c r="C38" s="250">
        <v>1</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582</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v>
      </c>
      <c r="H41" s="250">
        <v>1</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587</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584</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590</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0</v>
      </c>
      <c r="C47" s="250">
        <v>1</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0</v>
      </c>
      <c r="C48" s="250">
        <v>1</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0</v>
      </c>
      <c r="H52" s="250">
        <v>1</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0</v>
      </c>
      <c r="H53" s="250">
        <v>1</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644</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585</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586</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6.4914967387391647E-3</v>
      </c>
      <c r="C65" s="250">
        <v>0.99350850326126083</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591</v>
      </c>
      <c r="B66" s="247">
        <v>0</v>
      </c>
      <c r="C66" s="247">
        <v>0</v>
      </c>
      <c r="D66" s="247">
        <v>0</v>
      </c>
      <c r="E66" s="247">
        <v>0</v>
      </c>
      <c r="F66" s="247">
        <v>0</v>
      </c>
      <c r="G66" s="285">
        <v>0</v>
      </c>
      <c r="H66" s="250">
        <v>1</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[2]EXPORT_PROREF_ouput_share!$AK$27</f>
        <v>4.0942453631549962E-2</v>
      </c>
      <c r="D74" s="256">
        <f>[2]EXPORT_PROREF_ouput_share!$AK$28</f>
        <v>0.16286867230292512</v>
      </c>
      <c r="E74" s="247">
        <v>0</v>
      </c>
      <c r="F74" s="247">
        <v>0</v>
      </c>
      <c r="G74" s="256">
        <f>[2]EXPORT_PROREF_ouput_share!$AK$29</f>
        <v>0.79618887406552497</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[3]EXPORT_PROCESS_TRANSFORMATION!AJ43</f>
        <v>0.6827471908300432</v>
      </c>
    </row>
    <row r="92" spans="1:15" x14ac:dyDescent="0.35">
      <c r="A92" s="251" t="s">
        <v>530</v>
      </c>
      <c r="B92" s="250">
        <f>[3]EXPORT_PROCESS_TRANSFORMATION!AJ44</f>
        <v>0.99403040827498446</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5" t="s">
        <v>546</v>
      </c>
      <c r="B105" s="305"/>
      <c r="C105" s="305"/>
      <c r="D105" s="305"/>
      <c r="E105" s="305"/>
      <c r="F105" s="305"/>
      <c r="G105" s="305"/>
      <c r="H105" s="305"/>
      <c r="I105" s="305"/>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659</v>
      </c>
    </row>
    <row r="116" spans="1:4" x14ac:dyDescent="0.35">
      <c r="A116" s="83" t="s">
        <v>421</v>
      </c>
      <c r="B116" s="259" t="s">
        <v>547</v>
      </c>
      <c r="C116" s="253" t="s">
        <v>419</v>
      </c>
      <c r="D116" s="253" t="s">
        <v>226</v>
      </c>
    </row>
    <row r="117" spans="1:4" x14ac:dyDescent="0.35">
      <c r="A117" s="251" t="s">
        <v>448</v>
      </c>
      <c r="B117" s="261">
        <f>[1]Russia!B480</f>
        <v>4590.9629013034546</v>
      </c>
      <c r="C117" s="256">
        <f>[1]Russia!C480</f>
        <v>6.2638890322837842E-2</v>
      </c>
      <c r="D117" s="261">
        <v>25</v>
      </c>
    </row>
    <row r="118" spans="1:4" x14ac:dyDescent="0.35">
      <c r="A118" s="251" t="s">
        <v>452</v>
      </c>
      <c r="B118" s="261">
        <f>[1]Russia!B481</f>
        <v>4590.9629013034546</v>
      </c>
      <c r="C118" s="256">
        <f>[1]Russia!C481</f>
        <v>6.2638890322837842E-2</v>
      </c>
      <c r="D118" s="261">
        <v>25</v>
      </c>
    </row>
    <row r="119" spans="1:4" x14ac:dyDescent="0.35">
      <c r="A119" s="251" t="s">
        <v>449</v>
      </c>
      <c r="B119" s="261">
        <f>[1]Russia!B482</f>
        <v>7246.20589417479</v>
      </c>
      <c r="C119" s="256">
        <f>[1]Russia!C482</f>
        <v>0.24399920288592691</v>
      </c>
      <c r="D119" s="261">
        <v>25</v>
      </c>
    </row>
    <row r="120" spans="1:4" x14ac:dyDescent="0.35">
      <c r="A120" s="251" t="s">
        <v>451</v>
      </c>
      <c r="B120" s="261">
        <f>[1]Russia!B483</f>
        <v>3491.5272463147139</v>
      </c>
      <c r="C120" s="256">
        <f>[1]Russia!C483</f>
        <v>1.1385152217448288E-2</v>
      </c>
      <c r="D120" s="261">
        <v>25</v>
      </c>
    </row>
    <row r="121" spans="1:4" x14ac:dyDescent="0.35">
      <c r="A121" s="251" t="s">
        <v>592</v>
      </c>
      <c r="B121" s="261">
        <f>[1]Russia!B484</f>
        <v>3491.5272463147139</v>
      </c>
      <c r="C121" s="256">
        <f>[1]Russia!C484</f>
        <v>1.1385152217448288E-2</v>
      </c>
      <c r="D121" s="261">
        <v>25</v>
      </c>
    </row>
    <row r="122" spans="1:4" x14ac:dyDescent="0.35">
      <c r="A122" s="251" t="s">
        <v>593</v>
      </c>
      <c r="B122" s="261">
        <f>[1]Russia!B485</f>
        <v>4379.4085736103971</v>
      </c>
      <c r="C122" s="256">
        <f>[1]Russia!C485</f>
        <v>1.5171112258819539E-2</v>
      </c>
      <c r="D122" s="261">
        <v>25</v>
      </c>
    </row>
    <row r="123" spans="1:4" x14ac:dyDescent="0.35">
      <c r="A123" s="251" t="s">
        <v>594</v>
      </c>
      <c r="B123" s="261">
        <f>[1]Russia!B486</f>
        <v>4379.4085736103971</v>
      </c>
      <c r="C123" s="256">
        <f>[1]Russia!C486</f>
        <v>1.5171112258819539E-2</v>
      </c>
      <c r="D123" s="261">
        <v>25</v>
      </c>
    </row>
    <row r="124" spans="1:4" x14ac:dyDescent="0.35">
      <c r="A124" s="251" t="s">
        <v>450</v>
      </c>
      <c r="B124" s="261">
        <f>[1]Russia!B487</f>
        <v>4794.9787473571178</v>
      </c>
      <c r="C124" s="256">
        <f>[1]Russia!C487</f>
        <v>8.922177747532227E-2</v>
      </c>
      <c r="D124" s="261">
        <v>25</v>
      </c>
    </row>
    <row r="125" spans="1:4" x14ac:dyDescent="0.35">
      <c r="A125" s="251" t="s">
        <v>595</v>
      </c>
      <c r="B125" s="261">
        <f>[1]Russia!B488</f>
        <v>4379.4085736103971</v>
      </c>
      <c r="C125" s="256">
        <f>[1]Russia!C488</f>
        <v>1.5171112258819539E-2</v>
      </c>
      <c r="D125" s="261">
        <v>25</v>
      </c>
    </row>
    <row r="126" spans="1:4" x14ac:dyDescent="0.35">
      <c r="A126" s="251" t="s">
        <v>596</v>
      </c>
      <c r="B126" s="261">
        <f>[1]Russia!B489</f>
        <v>4379.4085736103971</v>
      </c>
      <c r="C126" s="256">
        <f>[1]Russia!C489</f>
        <v>1.5171112258819539E-2</v>
      </c>
      <c r="D126" s="261">
        <v>25</v>
      </c>
    </row>
    <row r="127" spans="1:4" x14ac:dyDescent="0.35">
      <c r="A127" s="251" t="s">
        <v>597</v>
      </c>
      <c r="B127" s="260">
        <f>[1]Russia!B490</f>
        <v>3066</v>
      </c>
      <c r="C127" s="247">
        <f>[1]Russia!C490</f>
        <v>0.3</v>
      </c>
      <c r="D127" s="261">
        <v>25</v>
      </c>
    </row>
    <row r="128" spans="1:4" x14ac:dyDescent="0.35">
      <c r="A128" s="251" t="s">
        <v>598</v>
      </c>
      <c r="B128" s="260">
        <f>[1]Russia!B491</f>
        <v>3066</v>
      </c>
      <c r="C128" s="247">
        <f>[1]Russia!C491</f>
        <v>0.3</v>
      </c>
      <c r="D128" s="261">
        <v>25</v>
      </c>
    </row>
    <row r="129" spans="1:4" x14ac:dyDescent="0.35">
      <c r="A129" s="251" t="s">
        <v>599</v>
      </c>
      <c r="B129" s="260">
        <f>[1]Russia!B492</f>
        <v>3066</v>
      </c>
      <c r="C129" s="247">
        <f>[1]Russia!C492</f>
        <v>0.3</v>
      </c>
      <c r="D129" s="261">
        <v>25</v>
      </c>
    </row>
    <row r="130" spans="1:4" x14ac:dyDescent="0.35">
      <c r="A130" s="251" t="s">
        <v>600</v>
      </c>
      <c r="B130" s="260">
        <f>[1]Russia!B493</f>
        <v>3066</v>
      </c>
      <c r="C130" s="247">
        <f>[1]Russia!C493</f>
        <v>0.3</v>
      </c>
      <c r="D130" s="261">
        <v>25</v>
      </c>
    </row>
    <row r="131" spans="1:4" x14ac:dyDescent="0.35">
      <c r="A131" s="251" t="s">
        <v>601</v>
      </c>
      <c r="B131" s="260">
        <f>[1]Russia!B494</f>
        <v>3066</v>
      </c>
      <c r="C131" s="247">
        <f>[1]Russia!C494</f>
        <v>0.3</v>
      </c>
      <c r="D131" s="261">
        <v>25</v>
      </c>
    </row>
    <row r="132" spans="1:4" x14ac:dyDescent="0.35">
      <c r="A132" s="251" t="s">
        <v>602</v>
      </c>
      <c r="B132" s="260">
        <f>[1]Russia!B495</f>
        <v>3066</v>
      </c>
      <c r="C132" s="247">
        <f>[1]Russia!C495</f>
        <v>0.3</v>
      </c>
      <c r="D132" s="261">
        <v>25</v>
      </c>
    </row>
    <row r="133" spans="1:4" x14ac:dyDescent="0.35">
      <c r="A133" s="251" t="s">
        <v>603</v>
      </c>
      <c r="B133" s="260">
        <f>[1]Russia!B496</f>
        <v>3066</v>
      </c>
      <c r="C133" s="247">
        <f>[1]Russia!C496</f>
        <v>0.3</v>
      </c>
      <c r="D133" s="261">
        <v>25</v>
      </c>
    </row>
    <row r="134" spans="1:4" x14ac:dyDescent="0.35">
      <c r="A134" s="251" t="s">
        <v>604</v>
      </c>
      <c r="B134" s="261">
        <f>[1]Russia!B497</f>
        <v>4884.5182866231526</v>
      </c>
      <c r="C134" s="256">
        <f>[1]Russia!C497</f>
        <v>1.5171112258819539E-2</v>
      </c>
      <c r="D134" s="261">
        <v>25</v>
      </c>
    </row>
    <row r="135" spans="1:4" x14ac:dyDescent="0.35">
      <c r="A135" s="251" t="s">
        <v>605</v>
      </c>
      <c r="B135" s="261">
        <f>[1]Russia!B498</f>
        <v>4884.5182866231526</v>
      </c>
      <c r="C135" s="256">
        <f>[1]Russia!C498</f>
        <v>1.5171112258819539E-2</v>
      </c>
      <c r="D135" s="261">
        <v>25</v>
      </c>
    </row>
    <row r="136" spans="1:4" x14ac:dyDescent="0.35">
      <c r="A136" s="251" t="s">
        <v>453</v>
      </c>
      <c r="B136" s="261">
        <f>[1]Russia!B499</f>
        <v>3831.3865659907642</v>
      </c>
      <c r="C136" s="256">
        <f>[1]Russia!C499</f>
        <v>9.6083410786124659E-2</v>
      </c>
      <c r="D136" s="261">
        <v>25</v>
      </c>
    </row>
    <row r="137" spans="1:4" x14ac:dyDescent="0.35">
      <c r="A137" s="251" t="s">
        <v>466</v>
      </c>
      <c r="B137" s="261">
        <f>[1]Russia!B500</f>
        <v>3831.3865659907642</v>
      </c>
      <c r="C137" s="256">
        <f>[1]Russia!C500</f>
        <v>9.6083410786124659E-2</v>
      </c>
      <c r="D137" s="261">
        <v>25</v>
      </c>
    </row>
    <row r="138" spans="1:4" x14ac:dyDescent="0.35">
      <c r="A138" s="251" t="s">
        <v>463</v>
      </c>
      <c r="B138" s="261">
        <f>[1]Russia!B501</f>
        <v>7246.20589417479</v>
      </c>
      <c r="C138" s="256">
        <f>[1]Russia!C501</f>
        <v>9.333863575612833E-2</v>
      </c>
      <c r="D138" s="261">
        <v>25</v>
      </c>
    </row>
    <row r="139" spans="1:4" x14ac:dyDescent="0.35">
      <c r="A139" s="251" t="s">
        <v>457</v>
      </c>
      <c r="B139" s="294">
        <f>'[4]Empiric Full-load-hours'!E193</f>
        <v>3267.0722898260824</v>
      </c>
      <c r="C139" s="256">
        <f>[1]Russia!C502</f>
        <v>1.0986572719598461E-2</v>
      </c>
      <c r="D139" s="261">
        <v>100</v>
      </c>
    </row>
    <row r="140" spans="1:4" x14ac:dyDescent="0.35">
      <c r="A140" s="251" t="s">
        <v>456</v>
      </c>
      <c r="B140" s="294">
        <f>'[4]Empiric Full-load-hours'!E194</f>
        <v>3267.0671449356787</v>
      </c>
      <c r="C140" s="256">
        <f>[1]Russia!C503</f>
        <v>1.5898851968761604E-2</v>
      </c>
      <c r="D140" s="261">
        <v>100</v>
      </c>
    </row>
    <row r="141" spans="1:4" x14ac:dyDescent="0.35">
      <c r="A141" s="251" t="s">
        <v>454</v>
      </c>
      <c r="B141" s="261">
        <f>[1]Russia!B504</f>
        <v>2976.2757638909829</v>
      </c>
      <c r="C141" s="256">
        <f>[1]Russia!C504</f>
        <v>2.2268660400972043E-2</v>
      </c>
      <c r="D141" s="261">
        <v>25</v>
      </c>
    </row>
    <row r="142" spans="1:4" x14ac:dyDescent="0.35">
      <c r="A142" s="251" t="s">
        <v>467</v>
      </c>
      <c r="B142" s="261">
        <f>[1]Russia!B505</f>
        <v>2976.2757638909829</v>
      </c>
      <c r="C142" s="256">
        <f>[1]Russia!C505</f>
        <v>2.2268660400972043E-2</v>
      </c>
      <c r="D142" s="261">
        <v>25</v>
      </c>
    </row>
    <row r="143" spans="1:4" x14ac:dyDescent="0.35">
      <c r="A143" s="251" t="s">
        <v>458</v>
      </c>
      <c r="B143" s="261">
        <f>[1]Russia!B506</f>
        <v>7045.7948769219884</v>
      </c>
      <c r="C143" s="256">
        <f>[1]Russia!C506</f>
        <v>7.6517970764594908E-3</v>
      </c>
      <c r="D143" s="261">
        <v>100</v>
      </c>
    </row>
    <row r="144" spans="1:4" x14ac:dyDescent="0.35">
      <c r="A144" s="251" t="s">
        <v>459</v>
      </c>
      <c r="B144" s="261">
        <f>[1]Russia!B507</f>
        <v>2107.497758280615</v>
      </c>
      <c r="C144" s="256">
        <f>[1]Russia!C507</f>
        <v>1.5379854629415024E-3</v>
      </c>
      <c r="D144" s="261">
        <v>25</v>
      </c>
    </row>
    <row r="145" spans="1:4" x14ac:dyDescent="0.35">
      <c r="A145" s="251" t="s">
        <v>460</v>
      </c>
      <c r="B145" s="294">
        <f>'[4]Empiric Full-load-hours'!E195</f>
        <v>1144.1698750567682</v>
      </c>
      <c r="C145" s="256">
        <f>[1]Russia!C508</f>
        <v>0.83770491803278679</v>
      </c>
      <c r="D145" s="261">
        <v>25</v>
      </c>
    </row>
    <row r="146" spans="1:4" x14ac:dyDescent="0.35">
      <c r="A146" s="251" t="s">
        <v>462</v>
      </c>
      <c r="B146" s="294">
        <f>'[4]Empiric Full-load-hours'!E196</f>
        <v>1144.1698750567682</v>
      </c>
      <c r="C146" s="256">
        <f>[1]Russia!C509</f>
        <v>0.52027951642487902</v>
      </c>
      <c r="D146" s="261">
        <v>30</v>
      </c>
    </row>
    <row r="147" spans="1:4" x14ac:dyDescent="0.35">
      <c r="A147" s="251" t="s">
        <v>461</v>
      </c>
      <c r="B147" s="294">
        <f>'[4]Empiric Full-load-hours'!E197</f>
        <v>1144.1729170184008</v>
      </c>
      <c r="C147" s="256">
        <f>[1]Russia!C510</f>
        <v>0.52027951642487902</v>
      </c>
      <c r="D147" s="261">
        <v>30</v>
      </c>
    </row>
    <row r="148" spans="1:4" x14ac:dyDescent="0.35">
      <c r="A148" s="251" t="s">
        <v>606</v>
      </c>
      <c r="B148" s="261">
        <f>[1]Russia!B511</f>
        <v>4884.5182866231526</v>
      </c>
      <c r="C148" s="256">
        <f>[1]Russia!C511</f>
        <v>1.9392258320443133E-2</v>
      </c>
      <c r="D148" s="261">
        <v>25</v>
      </c>
    </row>
    <row r="149" spans="1:4" x14ac:dyDescent="0.35">
      <c r="A149" s="251" t="s">
        <v>607</v>
      </c>
      <c r="B149" s="261">
        <f>[1]Russia!B512</f>
        <v>4884.5182866231526</v>
      </c>
      <c r="C149" s="256">
        <f>[1]Russia!C512</f>
        <v>1.9392258320443133E-2</v>
      </c>
      <c r="D149" s="261">
        <v>25</v>
      </c>
    </row>
    <row r="150" spans="1:4" x14ac:dyDescent="0.35">
      <c r="A150" s="251" t="s">
        <v>455</v>
      </c>
      <c r="B150" s="261">
        <f>[1]Russia!B513</f>
        <v>6657.1625159193409</v>
      </c>
      <c r="C150" s="256">
        <f>[1]Russia!C513</f>
        <v>0.10596782612670605</v>
      </c>
      <c r="D150" s="261">
        <v>25</v>
      </c>
    </row>
    <row r="151" spans="1:4" x14ac:dyDescent="0.35">
      <c r="A151" s="251" t="s">
        <v>468</v>
      </c>
      <c r="B151" s="261">
        <f>[1]Russia!B514</f>
        <v>6657.1625159193409</v>
      </c>
      <c r="C151" s="256">
        <f>[1]Russia!C514</f>
        <v>0.10596782612670605</v>
      </c>
      <c r="D151" s="261">
        <v>25</v>
      </c>
    </row>
    <row r="152" spans="1:4" x14ac:dyDescent="0.35">
      <c r="A152" s="251" t="s">
        <v>465</v>
      </c>
      <c r="B152" s="294">
        <f>'[4]Empiric Full-load-hours'!E198</f>
        <v>3359.2067542755108</v>
      </c>
      <c r="C152" s="256">
        <f>[1]Russia!C515</f>
        <v>9.3786973448175603E-2</v>
      </c>
      <c r="D152" s="261">
        <v>30</v>
      </c>
    </row>
    <row r="153" spans="1:4" x14ac:dyDescent="0.35">
      <c r="A153" s="251" t="s">
        <v>464</v>
      </c>
      <c r="B153" s="294">
        <f>'[4]Empiric Full-load-hours'!E199</f>
        <v>2233.4838549945271</v>
      </c>
      <c r="C153" s="256">
        <f>[1]Russia!C516</f>
        <v>0.26371592565113777</v>
      </c>
      <c r="D153" s="261">
        <v>30</v>
      </c>
    </row>
    <row r="154" spans="1:4" x14ac:dyDescent="0.35">
      <c r="A154" s="251" t="s">
        <v>608</v>
      </c>
      <c r="B154" s="260">
        <v>8760</v>
      </c>
      <c r="C154" s="247">
        <f>[1]Russia!C517</f>
        <v>1</v>
      </c>
      <c r="D154" s="247">
        <v>1000000</v>
      </c>
    </row>
    <row r="155" spans="1:4" x14ac:dyDescent="0.35">
      <c r="A155" s="251" t="s">
        <v>609</v>
      </c>
      <c r="B155" s="260">
        <v>8760</v>
      </c>
      <c r="C155" s="247">
        <f>[1]Russia!C518</f>
        <v>1</v>
      </c>
      <c r="D155" s="247">
        <v>1000000</v>
      </c>
    </row>
    <row r="156" spans="1:4" x14ac:dyDescent="0.35">
      <c r="A156" s="251" t="s">
        <v>610</v>
      </c>
      <c r="B156" s="260">
        <v>8760</v>
      </c>
      <c r="C156" s="247">
        <f>[1]Russia!C519</f>
        <v>1</v>
      </c>
      <c r="D156" s="247">
        <v>1000000</v>
      </c>
    </row>
    <row r="157" spans="1:4" x14ac:dyDescent="0.35">
      <c r="A157" s="251" t="s">
        <v>611</v>
      </c>
      <c r="B157" s="260">
        <v>8760</v>
      </c>
      <c r="C157" s="247">
        <f>[1]Russia!C520</f>
        <v>1</v>
      </c>
      <c r="D157" s="247">
        <v>1000000</v>
      </c>
    </row>
    <row r="158" spans="1:4" x14ac:dyDescent="0.35">
      <c r="A158" s="251" t="s">
        <v>612</v>
      </c>
      <c r="B158" s="260">
        <v>8760</v>
      </c>
      <c r="C158" s="247">
        <f>[1]Russia!C521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gion9"/>
  <dimension ref="A3:P158"/>
  <sheetViews>
    <sheetView topLeftCell="A16" zoomScale="55" zoomScaleNormal="55" workbookViewId="0">
      <selection activeCell="A71" sqref="A71"/>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5" t="s">
        <v>550</v>
      </c>
      <c r="B3" s="305"/>
      <c r="C3" s="305"/>
      <c r="D3" s="305"/>
      <c r="E3" s="305"/>
      <c r="F3" s="305"/>
      <c r="G3" s="305"/>
      <c r="H3" s="305"/>
      <c r="I3" s="305"/>
    </row>
    <row r="5" spans="1:9" ht="29" x14ac:dyDescent="0.35">
      <c r="A5" s="255" t="s">
        <v>385</v>
      </c>
      <c r="B5" s="265" t="s">
        <v>493</v>
      </c>
    </row>
    <row r="6" spans="1:9" x14ac:dyDescent="0.35">
      <c r="A6" s="248" t="s">
        <v>423</v>
      </c>
      <c r="B6" s="266" t="s">
        <v>419</v>
      </c>
    </row>
    <row r="7" spans="1:9" x14ac:dyDescent="0.35">
      <c r="A7" s="251" t="s">
        <v>490</v>
      </c>
      <c r="B7" s="256">
        <v>7.2570692139205487E-2</v>
      </c>
    </row>
    <row r="8" spans="1:9" x14ac:dyDescent="0.35">
      <c r="A8" s="251" t="s">
        <v>491</v>
      </c>
      <c r="B8" s="256">
        <v>0</v>
      </c>
    </row>
    <row r="9" spans="1:9" x14ac:dyDescent="0.35">
      <c r="A9" s="251" t="s">
        <v>492</v>
      </c>
      <c r="B9" s="256">
        <v>0.19568175872765844</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6.8567769044141177E-2</v>
      </c>
    </row>
    <row r="20" spans="1:16" x14ac:dyDescent="0.35">
      <c r="A20" s="251" t="s">
        <v>487</v>
      </c>
      <c r="B20" s="250">
        <v>6.2481685176145225E-2</v>
      </c>
    </row>
    <row r="21" spans="1:16" x14ac:dyDescent="0.35">
      <c r="A21" s="251" t="s">
        <v>488</v>
      </c>
      <c r="B21" s="250">
        <v>0.54394865194603625</v>
      </c>
    </row>
    <row r="22" spans="1:16" x14ac:dyDescent="0.35">
      <c r="A22" s="251" t="s">
        <v>489</v>
      </c>
      <c r="B22" s="250">
        <v>4.1216784904748928E-2</v>
      </c>
    </row>
    <row r="23" spans="1:16" x14ac:dyDescent="0.35">
      <c r="A23" s="251" t="s">
        <v>579</v>
      </c>
      <c r="B23" s="250">
        <v>6.4491858853473888E-2</v>
      </c>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645</v>
      </c>
    </row>
    <row r="28" spans="1:16" x14ac:dyDescent="0.35">
      <c r="A28" s="251" t="s">
        <v>498</v>
      </c>
      <c r="B28" s="285">
        <v>7.9670403185946939E-3</v>
      </c>
      <c r="C28" s="250">
        <v>0.99203295968140526</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7.9670403185946939E-3</v>
      </c>
      <c r="C29" s="250">
        <v>0.99203295968140526</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4.8620039934290038E-2</v>
      </c>
      <c r="H31" s="250">
        <v>0.95137996006571002</v>
      </c>
      <c r="I31" s="247">
        <v>0</v>
      </c>
      <c r="J31" s="247">
        <v>0</v>
      </c>
      <c r="K31" s="247">
        <v>0</v>
      </c>
      <c r="L31" s="247">
        <v>0</v>
      </c>
      <c r="M31" s="247">
        <v>0</v>
      </c>
      <c r="N31" s="247">
        <v>0</v>
      </c>
      <c r="O31" s="247">
        <v>0</v>
      </c>
      <c r="P31" s="246">
        <f t="shared" si="0"/>
        <v>1</v>
      </c>
    </row>
    <row r="32" spans="1:16" x14ac:dyDescent="0.35">
      <c r="A32" s="251" t="s">
        <v>588</v>
      </c>
      <c r="B32" s="247">
        <v>0</v>
      </c>
      <c r="C32" s="247">
        <v>0</v>
      </c>
      <c r="D32" s="247">
        <v>0</v>
      </c>
      <c r="E32" s="247">
        <v>0</v>
      </c>
      <c r="F32" s="247">
        <v>0</v>
      </c>
      <c r="G32" s="285">
        <v>4.8620039934290038E-2</v>
      </c>
      <c r="H32" s="250">
        <v>0.95137996006571002</v>
      </c>
      <c r="I32" s="247">
        <v>0</v>
      </c>
      <c r="J32" s="247">
        <v>0</v>
      </c>
      <c r="K32" s="247">
        <v>0</v>
      </c>
      <c r="L32" s="247">
        <v>0</v>
      </c>
      <c r="M32" s="247">
        <v>0</v>
      </c>
      <c r="N32" s="247">
        <v>0</v>
      </c>
      <c r="O32" s="247">
        <v>0</v>
      </c>
      <c r="P32" s="246">
        <f t="shared" si="0"/>
        <v>1</v>
      </c>
    </row>
    <row r="33" spans="1:16" x14ac:dyDescent="0.35">
      <c r="A33" s="251" t="s">
        <v>580</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581</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583</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589</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f>B28</f>
        <v>7.9670403185946939E-3</v>
      </c>
      <c r="C38" s="250">
        <f>C28</f>
        <v>0.99203295968140526</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582</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v>
      </c>
      <c r="H41" s="250">
        <v>1</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587</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584</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590</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1.498695148270693E-2</v>
      </c>
      <c r="C47" s="250">
        <v>0.9850130485172931</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1.498695148270693E-2</v>
      </c>
      <c r="C48" s="250">
        <v>0.9850130485172931</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4.5275535743584689E-3</v>
      </c>
      <c r="H52" s="250">
        <v>0.99547244642564148</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4.5275535743584689E-3</v>
      </c>
      <c r="H53" s="250">
        <v>0.99547244642564148</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644</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585</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586</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6.4914967387391647E-3</v>
      </c>
      <c r="C65" s="250">
        <v>0.99350850326126083</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591</v>
      </c>
      <c r="B66" s="247">
        <v>0</v>
      </c>
      <c r="C66" s="247">
        <v>0</v>
      </c>
      <c r="D66" s="247">
        <v>0</v>
      </c>
      <c r="E66" s="247">
        <v>0</v>
      </c>
      <c r="F66" s="247">
        <v>0</v>
      </c>
      <c r="G66" s="285">
        <v>0</v>
      </c>
      <c r="H66" s="250">
        <v>1</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[2]EXPORT_PROREF_ouput_share!$AL$27</f>
        <v>1.2380015722058463E-2</v>
      </c>
      <c r="D74" s="256">
        <f>[2]EXPORT_PROREF_ouput_share!$AL$28</f>
        <v>0.16123617710227287</v>
      </c>
      <c r="E74" s="247">
        <v>0</v>
      </c>
      <c r="F74" s="247">
        <v>0</v>
      </c>
      <c r="G74" s="256">
        <f>[2]EXPORT_PROREF_ouput_share!$AL$29</f>
        <v>0.82638380717566862</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[3]EXPORT_PROCESS_TRANSFORMATION!AK43</f>
        <v>0.66116523421530604</v>
      </c>
    </row>
    <row r="92" spans="1:15" x14ac:dyDescent="0.35">
      <c r="A92" s="251" t="s">
        <v>530</v>
      </c>
      <c r="B92" s="250">
        <f>[3]EXPORT_PROCESS_TRANSFORMATION!AK44</f>
        <v>0.97369557597322964</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5" t="s">
        <v>546</v>
      </c>
      <c r="B105" s="305"/>
      <c r="C105" s="305"/>
      <c r="D105" s="305"/>
      <c r="E105" s="305"/>
      <c r="F105" s="305"/>
      <c r="G105" s="305"/>
      <c r="H105" s="305"/>
      <c r="I105" s="305"/>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659</v>
      </c>
    </row>
    <row r="116" spans="1:4" x14ac:dyDescent="0.35">
      <c r="A116" s="83" t="s">
        <v>421</v>
      </c>
      <c r="B116" s="259" t="s">
        <v>547</v>
      </c>
      <c r="C116" s="253" t="s">
        <v>419</v>
      </c>
      <c r="D116" s="253" t="s">
        <v>226</v>
      </c>
    </row>
    <row r="117" spans="1:4" x14ac:dyDescent="0.35">
      <c r="A117" s="251" t="s">
        <v>448</v>
      </c>
      <c r="B117" s="261">
        <f>[1]USMCA!B480</f>
        <v>4590.9629013034546</v>
      </c>
      <c r="C117" s="256">
        <f>[1]USMCA!C480</f>
        <v>6.2638890322837842E-2</v>
      </c>
      <c r="D117" s="261">
        <v>25</v>
      </c>
    </row>
    <row r="118" spans="1:4" x14ac:dyDescent="0.35">
      <c r="A118" s="251" t="s">
        <v>452</v>
      </c>
      <c r="B118" s="261">
        <f>[1]USMCA!B481</f>
        <v>4590.9629013034546</v>
      </c>
      <c r="C118" s="256">
        <f>[1]USMCA!C481</f>
        <v>6.2638890322837842E-2</v>
      </c>
      <c r="D118" s="261">
        <v>25</v>
      </c>
    </row>
    <row r="119" spans="1:4" x14ac:dyDescent="0.35">
      <c r="A119" s="251" t="s">
        <v>449</v>
      </c>
      <c r="B119" s="261">
        <f>[1]USMCA!B482</f>
        <v>7246.20589417479</v>
      </c>
      <c r="C119" s="256">
        <f>[1]USMCA!C482</f>
        <v>0.24399920288592691</v>
      </c>
      <c r="D119" s="261">
        <v>25</v>
      </c>
    </row>
    <row r="120" spans="1:4" x14ac:dyDescent="0.35">
      <c r="A120" s="251" t="s">
        <v>451</v>
      </c>
      <c r="B120" s="261">
        <f>[1]USMCA!B483</f>
        <v>3491.5272463147139</v>
      </c>
      <c r="C120" s="256">
        <f>[1]USMCA!C483</f>
        <v>1.1385152217448288E-2</v>
      </c>
      <c r="D120" s="261">
        <v>25</v>
      </c>
    </row>
    <row r="121" spans="1:4" x14ac:dyDescent="0.35">
      <c r="A121" s="251" t="s">
        <v>592</v>
      </c>
      <c r="B121" s="261">
        <f>[1]USMCA!B484</f>
        <v>3491.5272463147139</v>
      </c>
      <c r="C121" s="256">
        <f>[1]USMCA!C484</f>
        <v>1.1385152217448288E-2</v>
      </c>
      <c r="D121" s="261">
        <v>25</v>
      </c>
    </row>
    <row r="122" spans="1:4" x14ac:dyDescent="0.35">
      <c r="A122" s="251" t="s">
        <v>593</v>
      </c>
      <c r="B122" s="261">
        <f>[1]USMCA!B485</f>
        <v>4379.4085736103971</v>
      </c>
      <c r="C122" s="256">
        <f>[1]USMCA!C485</f>
        <v>1.5171112258819539E-2</v>
      </c>
      <c r="D122" s="261">
        <v>25</v>
      </c>
    </row>
    <row r="123" spans="1:4" x14ac:dyDescent="0.35">
      <c r="A123" s="251" t="s">
        <v>594</v>
      </c>
      <c r="B123" s="261">
        <f>[1]USMCA!B486</f>
        <v>4379.4085736103971</v>
      </c>
      <c r="C123" s="256">
        <f>[1]USMCA!C486</f>
        <v>1.5171112258819539E-2</v>
      </c>
      <c r="D123" s="261">
        <v>25</v>
      </c>
    </row>
    <row r="124" spans="1:4" x14ac:dyDescent="0.35">
      <c r="A124" s="251" t="s">
        <v>450</v>
      </c>
      <c r="B124" s="261">
        <f>[1]USMCA!B487</f>
        <v>4794.9787473571178</v>
      </c>
      <c r="C124" s="256">
        <f>[1]USMCA!C487</f>
        <v>8.922177747532227E-2</v>
      </c>
      <c r="D124" s="261">
        <v>25</v>
      </c>
    </row>
    <row r="125" spans="1:4" x14ac:dyDescent="0.35">
      <c r="A125" s="251" t="s">
        <v>595</v>
      </c>
      <c r="B125" s="261">
        <f>[1]USMCA!B488</f>
        <v>4379.4085736103971</v>
      </c>
      <c r="C125" s="256">
        <f>[1]USMCA!C488</f>
        <v>1.5171112258819539E-2</v>
      </c>
      <c r="D125" s="261">
        <v>25</v>
      </c>
    </row>
    <row r="126" spans="1:4" x14ac:dyDescent="0.35">
      <c r="A126" s="251" t="s">
        <v>596</v>
      </c>
      <c r="B126" s="261">
        <f>[1]USMCA!B489</f>
        <v>4379.4085736103971</v>
      </c>
      <c r="C126" s="256">
        <f>[1]USMCA!C489</f>
        <v>1.5171112258819539E-2</v>
      </c>
      <c r="D126" s="261">
        <v>25</v>
      </c>
    </row>
    <row r="127" spans="1:4" x14ac:dyDescent="0.35">
      <c r="A127" s="251" t="s">
        <v>597</v>
      </c>
      <c r="B127" s="260">
        <f>[1]USMCA!B490</f>
        <v>3066</v>
      </c>
      <c r="C127" s="247">
        <f>[1]USMCA!C490</f>
        <v>0.3</v>
      </c>
      <c r="D127" s="261">
        <v>25</v>
      </c>
    </row>
    <row r="128" spans="1:4" x14ac:dyDescent="0.35">
      <c r="A128" s="251" t="s">
        <v>598</v>
      </c>
      <c r="B128" s="260">
        <f>[1]USMCA!B491</f>
        <v>3066</v>
      </c>
      <c r="C128" s="247">
        <f>[1]USMCA!C491</f>
        <v>0.3</v>
      </c>
      <c r="D128" s="261">
        <v>25</v>
      </c>
    </row>
    <row r="129" spans="1:4" x14ac:dyDescent="0.35">
      <c r="A129" s="251" t="s">
        <v>599</v>
      </c>
      <c r="B129" s="260">
        <f>[1]USMCA!B492</f>
        <v>3066</v>
      </c>
      <c r="C129" s="247">
        <f>[1]USMCA!C492</f>
        <v>0.3</v>
      </c>
      <c r="D129" s="261">
        <v>25</v>
      </c>
    </row>
    <row r="130" spans="1:4" x14ac:dyDescent="0.35">
      <c r="A130" s="251" t="s">
        <v>600</v>
      </c>
      <c r="B130" s="260">
        <f>[1]USMCA!B493</f>
        <v>3066</v>
      </c>
      <c r="C130" s="247">
        <f>[1]USMCA!C493</f>
        <v>0.3</v>
      </c>
      <c r="D130" s="261">
        <v>25</v>
      </c>
    </row>
    <row r="131" spans="1:4" x14ac:dyDescent="0.35">
      <c r="A131" s="251" t="s">
        <v>601</v>
      </c>
      <c r="B131" s="260">
        <f>[1]USMCA!B494</f>
        <v>3066</v>
      </c>
      <c r="C131" s="247">
        <f>[1]USMCA!C494</f>
        <v>0.3</v>
      </c>
      <c r="D131" s="261">
        <v>25</v>
      </c>
    </row>
    <row r="132" spans="1:4" x14ac:dyDescent="0.35">
      <c r="A132" s="251" t="s">
        <v>602</v>
      </c>
      <c r="B132" s="260">
        <f>[1]USMCA!B495</f>
        <v>3066</v>
      </c>
      <c r="C132" s="247">
        <f>[1]USMCA!C495</f>
        <v>0.3</v>
      </c>
      <c r="D132" s="261">
        <v>25</v>
      </c>
    </row>
    <row r="133" spans="1:4" x14ac:dyDescent="0.35">
      <c r="A133" s="251" t="s">
        <v>603</v>
      </c>
      <c r="B133" s="260">
        <f>[1]USMCA!B496</f>
        <v>3066</v>
      </c>
      <c r="C133" s="247">
        <f>[1]USMCA!C496</f>
        <v>0.3</v>
      </c>
      <c r="D133" s="261">
        <v>25</v>
      </c>
    </row>
    <row r="134" spans="1:4" x14ac:dyDescent="0.35">
      <c r="A134" s="251" t="s">
        <v>604</v>
      </c>
      <c r="B134" s="261">
        <f>[1]USMCA!B497</f>
        <v>4884.5182866231526</v>
      </c>
      <c r="C134" s="256">
        <f>[1]USMCA!C497</f>
        <v>1.5171112258819539E-2</v>
      </c>
      <c r="D134" s="261">
        <v>25</v>
      </c>
    </row>
    <row r="135" spans="1:4" x14ac:dyDescent="0.35">
      <c r="A135" s="251" t="s">
        <v>605</v>
      </c>
      <c r="B135" s="261">
        <f>[1]USMCA!B498</f>
        <v>4884.5182866231526</v>
      </c>
      <c r="C135" s="256">
        <f>[1]USMCA!C498</f>
        <v>1.5171112258819539E-2</v>
      </c>
      <c r="D135" s="261">
        <v>25</v>
      </c>
    </row>
    <row r="136" spans="1:4" x14ac:dyDescent="0.35">
      <c r="A136" s="251" t="s">
        <v>453</v>
      </c>
      <c r="B136" s="261">
        <f>[1]USMCA!B499</f>
        <v>3831.3865659907642</v>
      </c>
      <c r="C136" s="256">
        <f>[1]USMCA!C499</f>
        <v>9.6083410786124659E-2</v>
      </c>
      <c r="D136" s="261">
        <v>25</v>
      </c>
    </row>
    <row r="137" spans="1:4" x14ac:dyDescent="0.35">
      <c r="A137" s="251" t="s">
        <v>466</v>
      </c>
      <c r="B137" s="261">
        <f>[1]USMCA!B500</f>
        <v>3831.3865659907642</v>
      </c>
      <c r="C137" s="256">
        <f>[1]USMCA!C500</f>
        <v>9.6083410786124659E-2</v>
      </c>
      <c r="D137" s="261">
        <v>25</v>
      </c>
    </row>
    <row r="138" spans="1:4" x14ac:dyDescent="0.35">
      <c r="A138" s="251" t="s">
        <v>463</v>
      </c>
      <c r="B138" s="261">
        <f>[1]USMCA!B501</f>
        <v>7246.20589417479</v>
      </c>
      <c r="C138" s="256">
        <f>[1]USMCA!C501</f>
        <v>9.333863575612833E-2</v>
      </c>
      <c r="D138" s="261">
        <v>25</v>
      </c>
    </row>
    <row r="139" spans="1:4" x14ac:dyDescent="0.35">
      <c r="A139" s="251" t="s">
        <v>457</v>
      </c>
      <c r="B139" s="294">
        <f>'[4]Empiric Full-load-hours'!E200</f>
        <v>3424.9480243522562</v>
      </c>
      <c r="C139" s="256">
        <f>[1]USMCA!C502</f>
        <v>1.0986572719598461E-2</v>
      </c>
      <c r="D139" s="261">
        <v>100</v>
      </c>
    </row>
    <row r="140" spans="1:4" x14ac:dyDescent="0.35">
      <c r="A140" s="251" t="s">
        <v>456</v>
      </c>
      <c r="B140" s="294">
        <f>'[4]Empiric Full-load-hours'!E201</f>
        <v>3424.9551884663497</v>
      </c>
      <c r="C140" s="256">
        <f>[1]USMCA!C503</f>
        <v>1.5898851968761604E-2</v>
      </c>
      <c r="D140" s="261">
        <v>100</v>
      </c>
    </row>
    <row r="141" spans="1:4" x14ac:dyDescent="0.35">
      <c r="A141" s="251" t="s">
        <v>454</v>
      </c>
      <c r="B141" s="261">
        <f>[1]USMCA!B504</f>
        <v>2976.2757638909829</v>
      </c>
      <c r="C141" s="256">
        <f>[1]USMCA!C504</f>
        <v>2.2268660400972043E-2</v>
      </c>
      <c r="D141" s="261">
        <v>25</v>
      </c>
    </row>
    <row r="142" spans="1:4" x14ac:dyDescent="0.35">
      <c r="A142" s="251" t="s">
        <v>467</v>
      </c>
      <c r="B142" s="261">
        <f>[1]USMCA!B505</f>
        <v>2976.2757638909829</v>
      </c>
      <c r="C142" s="256">
        <f>[1]USMCA!C505</f>
        <v>2.2268660400972043E-2</v>
      </c>
      <c r="D142" s="261">
        <v>25</v>
      </c>
    </row>
    <row r="143" spans="1:4" x14ac:dyDescent="0.35">
      <c r="A143" s="251" t="s">
        <v>458</v>
      </c>
      <c r="B143" s="261">
        <f>[1]USMCA!B506</f>
        <v>7045.7948769219884</v>
      </c>
      <c r="C143" s="256">
        <f>[1]USMCA!C506</f>
        <v>7.6517970764594908E-3</v>
      </c>
      <c r="D143" s="261">
        <v>100</v>
      </c>
    </row>
    <row r="144" spans="1:4" x14ac:dyDescent="0.35">
      <c r="A144" s="251" t="s">
        <v>459</v>
      </c>
      <c r="B144" s="261">
        <f>[1]USMCA!B507</f>
        <v>2107.497758280615</v>
      </c>
      <c r="C144" s="256">
        <f>[1]USMCA!C507</f>
        <v>1.5379854629415024E-3</v>
      </c>
      <c r="D144" s="261">
        <v>25</v>
      </c>
    </row>
    <row r="145" spans="1:4" x14ac:dyDescent="0.35">
      <c r="A145" s="251" t="s">
        <v>460</v>
      </c>
      <c r="B145" s="294">
        <f>'[4]Empiric Full-load-hours'!E202</f>
        <v>1144.1698750567682</v>
      </c>
      <c r="C145" s="256">
        <f>[1]USMCA!C508</f>
        <v>0.83770491803278679</v>
      </c>
      <c r="D145" s="261">
        <v>25</v>
      </c>
    </row>
    <row r="146" spans="1:4" x14ac:dyDescent="0.35">
      <c r="A146" s="251" t="s">
        <v>462</v>
      </c>
      <c r="B146" s="294">
        <f>'[4]Empiric Full-load-hours'!E203</f>
        <v>1569.5657698723614</v>
      </c>
      <c r="C146" s="256">
        <f>[1]USMCA!C509</f>
        <v>0.52027951642487902</v>
      </c>
      <c r="D146" s="261">
        <v>30</v>
      </c>
    </row>
    <row r="147" spans="1:4" x14ac:dyDescent="0.35">
      <c r="A147" s="251" t="s">
        <v>461</v>
      </c>
      <c r="B147" s="294">
        <f>'[4]Empiric Full-load-hours'!E204</f>
        <v>1569.564307318308</v>
      </c>
      <c r="C147" s="256">
        <f>[1]USMCA!C510</f>
        <v>0.52027951642487902</v>
      </c>
      <c r="D147" s="261">
        <v>30</v>
      </c>
    </row>
    <row r="148" spans="1:4" x14ac:dyDescent="0.35">
      <c r="A148" s="251" t="s">
        <v>606</v>
      </c>
      <c r="B148" s="261">
        <f>[1]USMCA!B511</f>
        <v>4884.5182866231526</v>
      </c>
      <c r="C148" s="256">
        <f>[1]USMCA!C511</f>
        <v>1.9392258320443133E-2</v>
      </c>
      <c r="D148" s="261">
        <v>25</v>
      </c>
    </row>
    <row r="149" spans="1:4" x14ac:dyDescent="0.35">
      <c r="A149" s="251" t="s">
        <v>607</v>
      </c>
      <c r="B149" s="261">
        <f>[1]USMCA!B512</f>
        <v>4884.5182866231526</v>
      </c>
      <c r="C149" s="256">
        <f>[1]USMCA!C512</f>
        <v>1.9392258320443133E-2</v>
      </c>
      <c r="D149" s="261">
        <v>25</v>
      </c>
    </row>
    <row r="150" spans="1:4" x14ac:dyDescent="0.35">
      <c r="A150" s="251" t="s">
        <v>455</v>
      </c>
      <c r="B150" s="261">
        <f>[1]USMCA!B513</f>
        <v>6657.1625159193409</v>
      </c>
      <c r="C150" s="256">
        <f>[1]USMCA!C513</f>
        <v>0.10596782612670605</v>
      </c>
      <c r="D150" s="261">
        <v>25</v>
      </c>
    </row>
    <row r="151" spans="1:4" x14ac:dyDescent="0.35">
      <c r="A151" s="251" t="s">
        <v>468</v>
      </c>
      <c r="B151" s="261">
        <f>[1]USMCA!B514</f>
        <v>6657.1625159193409</v>
      </c>
      <c r="C151" s="256">
        <f>[1]USMCA!C514</f>
        <v>0.10596782612670605</v>
      </c>
      <c r="D151" s="261">
        <v>25</v>
      </c>
    </row>
    <row r="152" spans="1:4" x14ac:dyDescent="0.35">
      <c r="A152" s="251" t="s">
        <v>465</v>
      </c>
      <c r="B152" s="294">
        <f>'[4]Empiric Full-load-hours'!E205</f>
        <v>3518.5823754789271</v>
      </c>
      <c r="C152" s="256">
        <f>[1]USMCA!C515</f>
        <v>9.3786973448175603E-2</v>
      </c>
      <c r="D152" s="261">
        <v>30</v>
      </c>
    </row>
    <row r="153" spans="1:4" x14ac:dyDescent="0.35">
      <c r="A153" s="251" t="s">
        <v>464</v>
      </c>
      <c r="B153" s="294">
        <f>'[4]Empiric Full-load-hours'!E206</f>
        <v>2871.0891030216512</v>
      </c>
      <c r="C153" s="256">
        <f>[1]USMCA!C516</f>
        <v>0.26371592565113777</v>
      </c>
      <c r="D153" s="261">
        <v>30</v>
      </c>
    </row>
    <row r="154" spans="1:4" x14ac:dyDescent="0.35">
      <c r="A154" s="251" t="s">
        <v>608</v>
      </c>
      <c r="B154" s="260">
        <v>8760</v>
      </c>
      <c r="C154" s="247">
        <f>[1]USMCA!C517</f>
        <v>1</v>
      </c>
      <c r="D154" s="247">
        <v>1000000</v>
      </c>
    </row>
    <row r="155" spans="1:4" x14ac:dyDescent="0.35">
      <c r="A155" s="251" t="s">
        <v>609</v>
      </c>
      <c r="B155" s="260">
        <v>8760</v>
      </c>
      <c r="C155" s="247">
        <f>[1]USMCA!C518</f>
        <v>1</v>
      </c>
      <c r="D155" s="247">
        <v>1000000</v>
      </c>
    </row>
    <row r="156" spans="1:4" x14ac:dyDescent="0.35">
      <c r="A156" s="251" t="s">
        <v>610</v>
      </c>
      <c r="B156" s="260">
        <v>8760</v>
      </c>
      <c r="C156" s="247">
        <f>[1]USMCA!C519</f>
        <v>1</v>
      </c>
      <c r="D156" s="247">
        <v>1000000</v>
      </c>
    </row>
    <row r="157" spans="1:4" x14ac:dyDescent="0.35">
      <c r="A157" s="251" t="s">
        <v>611</v>
      </c>
      <c r="B157" s="260">
        <v>8760</v>
      </c>
      <c r="C157" s="247">
        <f>[1]USMCA!C520</f>
        <v>1</v>
      </c>
      <c r="D157" s="247">
        <v>1000000</v>
      </c>
    </row>
    <row r="158" spans="1:4" x14ac:dyDescent="0.35">
      <c r="A158" s="251" t="s">
        <v>612</v>
      </c>
      <c r="B158" s="260">
        <v>8760</v>
      </c>
      <c r="C158" s="247">
        <f>[1]USMCA!C521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Region6"/>
  <dimension ref="A3:P158"/>
  <sheetViews>
    <sheetView topLeftCell="A39" zoomScale="70" zoomScaleNormal="70" workbookViewId="0">
      <selection activeCell="H62" sqref="H62"/>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5" t="s">
        <v>550</v>
      </c>
      <c r="B3" s="305"/>
      <c r="C3" s="305"/>
      <c r="D3" s="305"/>
      <c r="E3" s="305"/>
      <c r="F3" s="305"/>
      <c r="G3" s="305"/>
      <c r="H3" s="305"/>
      <c r="I3" s="305"/>
    </row>
    <row r="5" spans="1:9" ht="29" x14ac:dyDescent="0.35">
      <c r="A5" s="255" t="s">
        <v>385</v>
      </c>
      <c r="B5" s="265" t="s">
        <v>493</v>
      </c>
    </row>
    <row r="6" spans="1:9" x14ac:dyDescent="0.35">
      <c r="A6" s="248" t="s">
        <v>423</v>
      </c>
      <c r="B6" s="266" t="s">
        <v>419</v>
      </c>
    </row>
    <row r="7" spans="1:9" x14ac:dyDescent="0.35">
      <c r="A7" s="251" t="s">
        <v>490</v>
      </c>
      <c r="B7" s="256">
        <v>0.16400332890160269</v>
      </c>
    </row>
    <row r="8" spans="1:9" x14ac:dyDescent="0.35">
      <c r="A8" s="251" t="s">
        <v>491</v>
      </c>
      <c r="B8" s="256">
        <v>1.7950320075360519E-2</v>
      </c>
    </row>
    <row r="9" spans="1:9" x14ac:dyDescent="0.35">
      <c r="A9" s="251" t="s">
        <v>492</v>
      </c>
      <c r="B9" s="256">
        <v>9.8893720984819619E-2</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6.3774273183070607E-2</v>
      </c>
    </row>
    <row r="20" spans="1:16" x14ac:dyDescent="0.35">
      <c r="A20" s="251" t="s">
        <v>487</v>
      </c>
      <c r="B20" s="250">
        <v>8.5261952573018773E-2</v>
      </c>
    </row>
    <row r="21" spans="1:16" x14ac:dyDescent="0.35">
      <c r="A21" s="251" t="s">
        <v>488</v>
      </c>
      <c r="B21" s="250">
        <v>0.13645053628751755</v>
      </c>
    </row>
    <row r="22" spans="1:16" x14ac:dyDescent="0.35">
      <c r="A22" s="251" t="s">
        <v>489</v>
      </c>
      <c r="B22" s="250">
        <v>4.597003038307438E-2</v>
      </c>
    </row>
    <row r="23" spans="1:16" x14ac:dyDescent="0.35">
      <c r="A23" s="251" t="s">
        <v>579</v>
      </c>
      <c r="B23" s="250">
        <v>0.24106304385570115</v>
      </c>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645</v>
      </c>
    </row>
    <row r="28" spans="1:16" x14ac:dyDescent="0.35">
      <c r="A28" s="251" t="s">
        <v>498</v>
      </c>
      <c r="B28" s="285">
        <v>4.793889945738105E-3</v>
      </c>
      <c r="C28" s="250">
        <v>0.99520611005426185</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4.793889945738105E-3</v>
      </c>
      <c r="C29" s="250">
        <v>0.99520611005426185</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1.4063584348184531E-4</v>
      </c>
      <c r="H31" s="250">
        <v>0.9998593641565181</v>
      </c>
      <c r="I31" s="247">
        <v>0</v>
      </c>
      <c r="J31" s="247">
        <v>0</v>
      </c>
      <c r="K31" s="247">
        <v>0</v>
      </c>
      <c r="L31" s="247">
        <v>0</v>
      </c>
      <c r="M31" s="247">
        <v>0</v>
      </c>
      <c r="N31" s="247">
        <v>0</v>
      </c>
      <c r="O31" s="247">
        <v>0</v>
      </c>
      <c r="P31" s="246">
        <f t="shared" si="0"/>
        <v>1</v>
      </c>
    </row>
    <row r="32" spans="1:16" x14ac:dyDescent="0.35">
      <c r="A32" s="251" t="s">
        <v>588</v>
      </c>
      <c r="B32" s="247">
        <v>0</v>
      </c>
      <c r="C32" s="247">
        <v>0</v>
      </c>
      <c r="D32" s="247">
        <v>0</v>
      </c>
      <c r="E32" s="247">
        <v>0</v>
      </c>
      <c r="F32" s="247">
        <v>0</v>
      </c>
      <c r="G32" s="285">
        <v>1.4063584348184531E-4</v>
      </c>
      <c r="H32" s="250">
        <v>0.9998593641565181</v>
      </c>
      <c r="I32" s="247">
        <v>0</v>
      </c>
      <c r="J32" s="247">
        <v>0</v>
      </c>
      <c r="K32" s="247">
        <v>0</v>
      </c>
      <c r="L32" s="247">
        <v>0</v>
      </c>
      <c r="M32" s="247">
        <v>0</v>
      </c>
      <c r="N32" s="247">
        <v>0</v>
      </c>
      <c r="O32" s="247">
        <v>0</v>
      </c>
      <c r="P32" s="246">
        <f t="shared" si="0"/>
        <v>1</v>
      </c>
    </row>
    <row r="33" spans="1:16" x14ac:dyDescent="0.35">
      <c r="A33" s="251" t="s">
        <v>580</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581</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583</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589</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1.2852958828908328E-3</v>
      </c>
      <c r="C38" s="250">
        <v>0.99871470411710916</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582</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5.4729296848855082E-3</v>
      </c>
      <c r="H41" s="250">
        <v>0.99452707031511445</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587</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584</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590</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7.5099785024036064E-4</v>
      </c>
      <c r="C47" s="250">
        <v>0.99924900214975965</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7.5099785024036064E-4</v>
      </c>
      <c r="C48" s="250">
        <v>0.99924900214975965</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1.7765710450233488E-5</v>
      </c>
      <c r="H52" s="250">
        <v>0.9999822342895498</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1.7765710450233488E-5</v>
      </c>
      <c r="H53" s="250">
        <v>0.9999822342895498</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644</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585</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586</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6.4914967387391647E-3</v>
      </c>
      <c r="C65" s="250">
        <v>0.99350850326126083</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591</v>
      </c>
      <c r="B66" s="247">
        <v>0</v>
      </c>
      <c r="C66" s="247">
        <v>0</v>
      </c>
      <c r="D66" s="247">
        <v>0</v>
      </c>
      <c r="E66" s="247">
        <v>0</v>
      </c>
      <c r="F66" s="247">
        <v>0</v>
      </c>
      <c r="G66" s="285">
        <v>0</v>
      </c>
      <c r="H66" s="250">
        <v>1</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[2]EXPORT_PROREF_ouput_share!$AM$27</f>
        <v>1.9484126562354924E-2</v>
      </c>
      <c r="D74" s="256">
        <f>[2]EXPORT_PROREF_ouput_share!$AM$28</f>
        <v>0.14119303153100674</v>
      </c>
      <c r="E74" s="247">
        <v>0</v>
      </c>
      <c r="F74" s="247">
        <v>0</v>
      </c>
      <c r="G74" s="256">
        <f>[2]EXPORT_PROREF_ouput_share!$AM$29</f>
        <v>0.83932284190663831</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[3]EXPORT_PROCESS_TRANSFORMATION!AL43</f>
        <v>0.67485310304600332</v>
      </c>
    </row>
    <row r="92" spans="1:15" x14ac:dyDescent="0.35">
      <c r="A92" s="251" t="s">
        <v>530</v>
      </c>
      <c r="B92" s="250">
        <f>[3]EXPORT_PROCESS_TRANSFORMATION!AL44</f>
        <v>0.9686682533066383</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5" t="s">
        <v>546</v>
      </c>
      <c r="B105" s="305"/>
      <c r="C105" s="305"/>
      <c r="D105" s="305"/>
      <c r="E105" s="305"/>
      <c r="F105" s="305"/>
      <c r="G105" s="305"/>
      <c r="H105" s="305"/>
      <c r="I105" s="305"/>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659</v>
      </c>
    </row>
    <row r="116" spans="1:4" x14ac:dyDescent="0.35">
      <c r="A116" s="83" t="s">
        <v>421</v>
      </c>
      <c r="B116" s="259" t="s">
        <v>547</v>
      </c>
      <c r="C116" s="253" t="s">
        <v>419</v>
      </c>
      <c r="D116" s="253" t="s">
        <v>226</v>
      </c>
    </row>
    <row r="117" spans="1:4" x14ac:dyDescent="0.35">
      <c r="A117" s="251" t="s">
        <v>448</v>
      </c>
      <c r="B117" s="261">
        <f>[1]LROW!B480</f>
        <v>4590.9629013034546</v>
      </c>
      <c r="C117" s="256">
        <f>[1]LROW!C480</f>
        <v>6.2638890322837842E-2</v>
      </c>
      <c r="D117" s="261">
        <v>25</v>
      </c>
    </row>
    <row r="118" spans="1:4" x14ac:dyDescent="0.35">
      <c r="A118" s="251" t="s">
        <v>452</v>
      </c>
      <c r="B118" s="261">
        <f>[1]LROW!B481</f>
        <v>4590.9629013034546</v>
      </c>
      <c r="C118" s="256">
        <f>[1]LROW!C481</f>
        <v>6.2638890322837842E-2</v>
      </c>
      <c r="D118" s="261">
        <v>25</v>
      </c>
    </row>
    <row r="119" spans="1:4" x14ac:dyDescent="0.35">
      <c r="A119" s="251" t="s">
        <v>449</v>
      </c>
      <c r="B119" s="261">
        <f>[1]LROW!B482</f>
        <v>7246.20589417479</v>
      </c>
      <c r="C119" s="256">
        <f>[1]LROW!C482</f>
        <v>0.24399920288592691</v>
      </c>
      <c r="D119" s="261">
        <v>25</v>
      </c>
    </row>
    <row r="120" spans="1:4" x14ac:dyDescent="0.35">
      <c r="A120" s="251" t="s">
        <v>451</v>
      </c>
      <c r="B120" s="261">
        <f>[1]LROW!B483</f>
        <v>3491.5272463147139</v>
      </c>
      <c r="C120" s="256">
        <f>[1]LROW!C483</f>
        <v>1.1385152217448288E-2</v>
      </c>
      <c r="D120" s="261">
        <v>25</v>
      </c>
    </row>
    <row r="121" spans="1:4" x14ac:dyDescent="0.35">
      <c r="A121" s="251" t="s">
        <v>592</v>
      </c>
      <c r="B121" s="261">
        <f>[1]LROW!B484</f>
        <v>3491.5272463147139</v>
      </c>
      <c r="C121" s="256">
        <f>[1]LROW!C484</f>
        <v>1.1385152217448288E-2</v>
      </c>
      <c r="D121" s="261">
        <v>25</v>
      </c>
    </row>
    <row r="122" spans="1:4" x14ac:dyDescent="0.35">
      <c r="A122" s="251" t="s">
        <v>593</v>
      </c>
      <c r="B122" s="261">
        <f>[1]LROW!B485</f>
        <v>4379.4085736103971</v>
      </c>
      <c r="C122" s="256">
        <f>[1]LROW!C485</f>
        <v>1.5171112258819539E-2</v>
      </c>
      <c r="D122" s="261">
        <v>25</v>
      </c>
    </row>
    <row r="123" spans="1:4" x14ac:dyDescent="0.35">
      <c r="A123" s="251" t="s">
        <v>594</v>
      </c>
      <c r="B123" s="261">
        <f>[1]LROW!B486</f>
        <v>4379.4085736103971</v>
      </c>
      <c r="C123" s="256">
        <f>[1]LROW!C486</f>
        <v>1.5171112258819539E-2</v>
      </c>
      <c r="D123" s="261">
        <v>25</v>
      </c>
    </row>
    <row r="124" spans="1:4" x14ac:dyDescent="0.35">
      <c r="A124" s="251" t="s">
        <v>450</v>
      </c>
      <c r="B124" s="261">
        <f>[1]LROW!B487</f>
        <v>4794.9787473571178</v>
      </c>
      <c r="C124" s="256">
        <f>[1]LROW!C487</f>
        <v>8.922177747532227E-2</v>
      </c>
      <c r="D124" s="261">
        <v>25</v>
      </c>
    </row>
    <row r="125" spans="1:4" x14ac:dyDescent="0.35">
      <c r="A125" s="251" t="s">
        <v>595</v>
      </c>
      <c r="B125" s="261">
        <f>[1]LROW!B488</f>
        <v>4379.4085736103971</v>
      </c>
      <c r="C125" s="256">
        <f>[1]LROW!C488</f>
        <v>1.5171112258819539E-2</v>
      </c>
      <c r="D125" s="261">
        <v>25</v>
      </c>
    </row>
    <row r="126" spans="1:4" x14ac:dyDescent="0.35">
      <c r="A126" s="251" t="s">
        <v>596</v>
      </c>
      <c r="B126" s="261">
        <f>[1]LROW!B489</f>
        <v>4379.4085736103971</v>
      </c>
      <c r="C126" s="256">
        <f>[1]LROW!C489</f>
        <v>1.5171112258819539E-2</v>
      </c>
      <c r="D126" s="261">
        <v>25</v>
      </c>
    </row>
    <row r="127" spans="1:4" x14ac:dyDescent="0.35">
      <c r="A127" s="251" t="s">
        <v>597</v>
      </c>
      <c r="B127" s="260">
        <f>[1]LROW!B490</f>
        <v>3066</v>
      </c>
      <c r="C127" s="247">
        <f>[1]LROW!C490</f>
        <v>0.3</v>
      </c>
      <c r="D127" s="261">
        <v>25</v>
      </c>
    </row>
    <row r="128" spans="1:4" x14ac:dyDescent="0.35">
      <c r="A128" s="251" t="s">
        <v>598</v>
      </c>
      <c r="B128" s="260">
        <f>[1]LROW!B491</f>
        <v>3066</v>
      </c>
      <c r="C128" s="247">
        <f>[1]LROW!C491</f>
        <v>0.3</v>
      </c>
      <c r="D128" s="261">
        <v>25</v>
      </c>
    </row>
    <row r="129" spans="1:4" x14ac:dyDescent="0.35">
      <c r="A129" s="251" t="s">
        <v>599</v>
      </c>
      <c r="B129" s="260">
        <f>[1]LROW!B492</f>
        <v>3066</v>
      </c>
      <c r="C129" s="247">
        <f>[1]LROW!C492</f>
        <v>0.3</v>
      </c>
      <c r="D129" s="261">
        <v>25</v>
      </c>
    </row>
    <row r="130" spans="1:4" x14ac:dyDescent="0.35">
      <c r="A130" s="251" t="s">
        <v>600</v>
      </c>
      <c r="B130" s="260">
        <f>[1]LROW!B493</f>
        <v>3066</v>
      </c>
      <c r="C130" s="247">
        <f>[1]LROW!C493</f>
        <v>0.3</v>
      </c>
      <c r="D130" s="261">
        <v>25</v>
      </c>
    </row>
    <row r="131" spans="1:4" x14ac:dyDescent="0.35">
      <c r="A131" s="251" t="s">
        <v>601</v>
      </c>
      <c r="B131" s="260">
        <f>[1]LROW!B494</f>
        <v>3066</v>
      </c>
      <c r="C131" s="247">
        <f>[1]LROW!C494</f>
        <v>0.3</v>
      </c>
      <c r="D131" s="261">
        <v>25</v>
      </c>
    </row>
    <row r="132" spans="1:4" x14ac:dyDescent="0.35">
      <c r="A132" s="251" t="s">
        <v>602</v>
      </c>
      <c r="B132" s="260">
        <f>[1]LROW!B495</f>
        <v>3066</v>
      </c>
      <c r="C132" s="247">
        <f>[1]LROW!C495</f>
        <v>0.3</v>
      </c>
      <c r="D132" s="261">
        <v>25</v>
      </c>
    </row>
    <row r="133" spans="1:4" x14ac:dyDescent="0.35">
      <c r="A133" s="251" t="s">
        <v>603</v>
      </c>
      <c r="B133" s="260">
        <f>[1]LROW!B496</f>
        <v>3066</v>
      </c>
      <c r="C133" s="247">
        <f>[1]LROW!C496</f>
        <v>0.3</v>
      </c>
      <c r="D133" s="261">
        <v>25</v>
      </c>
    </row>
    <row r="134" spans="1:4" x14ac:dyDescent="0.35">
      <c r="A134" s="251" t="s">
        <v>604</v>
      </c>
      <c r="B134" s="261">
        <f>[1]LROW!B497</f>
        <v>4884.5182866231526</v>
      </c>
      <c r="C134" s="256">
        <f>[1]LROW!C497</f>
        <v>1.5171112258819539E-2</v>
      </c>
      <c r="D134" s="261">
        <v>25</v>
      </c>
    </row>
    <row r="135" spans="1:4" x14ac:dyDescent="0.35">
      <c r="A135" s="251" t="s">
        <v>605</v>
      </c>
      <c r="B135" s="261">
        <f>[1]LROW!B498</f>
        <v>4884.5182866231526</v>
      </c>
      <c r="C135" s="256">
        <f>[1]LROW!C498</f>
        <v>1.5171112258819539E-2</v>
      </c>
      <c r="D135" s="261">
        <v>25</v>
      </c>
    </row>
    <row r="136" spans="1:4" x14ac:dyDescent="0.35">
      <c r="A136" s="251" t="s">
        <v>453</v>
      </c>
      <c r="B136" s="261">
        <f>[1]LROW!B499</f>
        <v>3831.3865659907642</v>
      </c>
      <c r="C136" s="256">
        <f>[1]LROW!C499</f>
        <v>9.6083410786124659E-2</v>
      </c>
      <c r="D136" s="261">
        <v>25</v>
      </c>
    </row>
    <row r="137" spans="1:4" x14ac:dyDescent="0.35">
      <c r="A137" s="251" t="s">
        <v>466</v>
      </c>
      <c r="B137" s="261">
        <f>[1]LROW!B500</f>
        <v>3831.3865659907642</v>
      </c>
      <c r="C137" s="256">
        <f>[1]LROW!C500</f>
        <v>9.6083410786124659E-2</v>
      </c>
      <c r="D137" s="261">
        <v>25</v>
      </c>
    </row>
    <row r="138" spans="1:4" x14ac:dyDescent="0.35">
      <c r="A138" s="251" t="s">
        <v>463</v>
      </c>
      <c r="B138" s="261">
        <f>[1]LROW!B501</f>
        <v>7246.20589417479</v>
      </c>
      <c r="C138" s="256">
        <f>[1]LROW!C501</f>
        <v>9.333863575612833E-2</v>
      </c>
      <c r="D138" s="261">
        <v>25</v>
      </c>
    </row>
    <row r="139" spans="1:4" x14ac:dyDescent="0.35">
      <c r="A139" s="251" t="s">
        <v>457</v>
      </c>
      <c r="B139" s="294">
        <f>'[4]Empiric Full-load-hours'!E207</f>
        <v>3373.316906204212</v>
      </c>
      <c r="C139" s="256">
        <f>[1]LROW!C502</f>
        <v>1.0986572719598461E-2</v>
      </c>
      <c r="D139" s="261">
        <v>100</v>
      </c>
    </row>
    <row r="140" spans="1:4" x14ac:dyDescent="0.35">
      <c r="A140" s="251" t="s">
        <v>456</v>
      </c>
      <c r="B140" s="294">
        <f>'[4]Empiric Full-load-hours'!E208</f>
        <v>3373.3163309422198</v>
      </c>
      <c r="C140" s="256">
        <f>[1]LROW!C503</f>
        <v>1.5898851968761604E-2</v>
      </c>
      <c r="D140" s="261">
        <v>100</v>
      </c>
    </row>
    <row r="141" spans="1:4" x14ac:dyDescent="0.35">
      <c r="A141" s="251" t="s">
        <v>454</v>
      </c>
      <c r="B141" s="261">
        <f>[1]LROW!B504</f>
        <v>2976.2757638909829</v>
      </c>
      <c r="C141" s="256">
        <f>[1]LROW!C504</f>
        <v>2.2268660400972043E-2</v>
      </c>
      <c r="D141" s="261">
        <v>25</v>
      </c>
    </row>
    <row r="142" spans="1:4" x14ac:dyDescent="0.35">
      <c r="A142" s="251" t="s">
        <v>467</v>
      </c>
      <c r="B142" s="261">
        <f>[1]LROW!B505</f>
        <v>2976.2757638909829</v>
      </c>
      <c r="C142" s="256">
        <f>[1]LROW!C505</f>
        <v>2.2268660400972043E-2</v>
      </c>
      <c r="D142" s="261">
        <v>25</v>
      </c>
    </row>
    <row r="143" spans="1:4" x14ac:dyDescent="0.35">
      <c r="A143" s="251" t="s">
        <v>458</v>
      </c>
      <c r="B143" s="261">
        <f>[1]LROW!B506</f>
        <v>7045.7948769219884</v>
      </c>
      <c r="C143" s="256">
        <f>[1]LROW!C506</f>
        <v>7.6517970764594908E-3</v>
      </c>
      <c r="D143" s="261">
        <v>100</v>
      </c>
    </row>
    <row r="144" spans="1:4" x14ac:dyDescent="0.35">
      <c r="A144" s="251" t="s">
        <v>459</v>
      </c>
      <c r="B144" s="261">
        <f>[1]LROW!B507</f>
        <v>2107.497758280615</v>
      </c>
      <c r="C144" s="256">
        <f>[1]LROW!C507</f>
        <v>1.5379854629415024E-3</v>
      </c>
      <c r="D144" s="261">
        <v>25</v>
      </c>
    </row>
    <row r="145" spans="1:4" x14ac:dyDescent="0.35">
      <c r="A145" s="251" t="s">
        <v>460</v>
      </c>
      <c r="B145" s="294">
        <f>'[4]Empiric Full-load-hours'!E209</f>
        <v>1144.1698750567682</v>
      </c>
      <c r="C145" s="256">
        <f>[1]LROW!C508</f>
        <v>0.83770491803278679</v>
      </c>
      <c r="D145" s="261">
        <v>25</v>
      </c>
    </row>
    <row r="146" spans="1:4" x14ac:dyDescent="0.35">
      <c r="A146" s="251" t="s">
        <v>462</v>
      </c>
      <c r="B146" s="294">
        <f>'[4]Empiric Full-load-hours'!E210</f>
        <v>1224.5651266330399</v>
      </c>
      <c r="C146" s="256">
        <f>[1]LROW!C509</f>
        <v>0.52027951642487902</v>
      </c>
      <c r="D146" s="261">
        <v>30</v>
      </c>
    </row>
    <row r="147" spans="1:4" x14ac:dyDescent="0.35">
      <c r="A147" s="251" t="s">
        <v>461</v>
      </c>
      <c r="B147" s="294">
        <f>'[4]Empiric Full-load-hours'!E211</f>
        <v>1224.5600227131422</v>
      </c>
      <c r="C147" s="256">
        <f>[1]LROW!C510</f>
        <v>0.52027951642487902</v>
      </c>
      <c r="D147" s="261">
        <v>30</v>
      </c>
    </row>
    <row r="148" spans="1:4" x14ac:dyDescent="0.35">
      <c r="A148" s="251" t="s">
        <v>606</v>
      </c>
      <c r="B148" s="261">
        <f>[1]LROW!B511</f>
        <v>4884.5182866231526</v>
      </c>
      <c r="C148" s="256">
        <f>[1]LROW!C511</f>
        <v>1.9392258320443133E-2</v>
      </c>
      <c r="D148" s="261">
        <v>25</v>
      </c>
    </row>
    <row r="149" spans="1:4" x14ac:dyDescent="0.35">
      <c r="A149" s="251" t="s">
        <v>607</v>
      </c>
      <c r="B149" s="261">
        <f>[1]LROW!B512</f>
        <v>4884.5182866231526</v>
      </c>
      <c r="C149" s="256">
        <f>[1]LROW!C512</f>
        <v>1.9392258320443133E-2</v>
      </c>
      <c r="D149" s="261">
        <v>25</v>
      </c>
    </row>
    <row r="150" spans="1:4" x14ac:dyDescent="0.35">
      <c r="A150" s="251" t="s">
        <v>455</v>
      </c>
      <c r="B150" s="261">
        <f>[1]LROW!B513</f>
        <v>6657.1625159193409</v>
      </c>
      <c r="C150" s="256">
        <f>[1]LROW!C513</f>
        <v>0.10596782612670605</v>
      </c>
      <c r="D150" s="261">
        <v>25</v>
      </c>
    </row>
    <row r="151" spans="1:4" x14ac:dyDescent="0.35">
      <c r="A151" s="251" t="s">
        <v>468</v>
      </c>
      <c r="B151" s="261">
        <f>[1]LROW!B514</f>
        <v>6657.1625159193409</v>
      </c>
      <c r="C151" s="256">
        <f>[1]LROW!C514</f>
        <v>0.10596782612670605</v>
      </c>
      <c r="D151" s="261">
        <v>25</v>
      </c>
    </row>
    <row r="152" spans="1:4" x14ac:dyDescent="0.35">
      <c r="A152" s="251" t="s">
        <v>465</v>
      </c>
      <c r="B152" s="294">
        <f>'[4]Empiric Full-load-hours'!E212</f>
        <v>3810.7571108593879</v>
      </c>
      <c r="C152" s="256">
        <f>[1]LROW!C515</f>
        <v>9.3786973448175603E-2</v>
      </c>
      <c r="D152" s="261">
        <v>30</v>
      </c>
    </row>
    <row r="153" spans="1:4" x14ac:dyDescent="0.35">
      <c r="A153" s="251" t="s">
        <v>464</v>
      </c>
      <c r="B153" s="294">
        <f>'[4]Empiric Full-load-hours'!E213</f>
        <v>2323.6562622224346</v>
      </c>
      <c r="C153" s="256">
        <f>[1]LROW!C516</f>
        <v>0.26371592565113777</v>
      </c>
      <c r="D153" s="261">
        <v>30</v>
      </c>
    </row>
    <row r="154" spans="1:4" x14ac:dyDescent="0.35">
      <c r="A154" s="251" t="s">
        <v>608</v>
      </c>
      <c r="B154" s="260">
        <v>8760</v>
      </c>
      <c r="C154" s="247">
        <f>[1]LROW!C517</f>
        <v>1</v>
      </c>
      <c r="D154" s="247">
        <v>1000000</v>
      </c>
    </row>
    <row r="155" spans="1:4" x14ac:dyDescent="0.35">
      <c r="A155" s="251" t="s">
        <v>609</v>
      </c>
      <c r="B155" s="260">
        <v>8760</v>
      </c>
      <c r="C155" s="247">
        <f>[1]LROW!C518</f>
        <v>1</v>
      </c>
      <c r="D155" s="247">
        <v>1000000</v>
      </c>
    </row>
    <row r="156" spans="1:4" x14ac:dyDescent="0.35">
      <c r="A156" s="251" t="s">
        <v>610</v>
      </c>
      <c r="B156" s="260">
        <v>8760</v>
      </c>
      <c r="C156" s="247">
        <f>[1]LROW!C519</f>
        <v>1</v>
      </c>
      <c r="D156" s="247">
        <v>1000000</v>
      </c>
    </row>
    <row r="157" spans="1:4" x14ac:dyDescent="0.35">
      <c r="A157" s="251" t="s">
        <v>611</v>
      </c>
      <c r="B157" s="260">
        <v>8760</v>
      </c>
      <c r="C157" s="247">
        <f>[1]LROW!C520</f>
        <v>1</v>
      </c>
      <c r="D157" s="247">
        <v>1000000</v>
      </c>
    </row>
    <row r="158" spans="1:4" x14ac:dyDescent="0.35">
      <c r="A158" s="251" t="s">
        <v>612</v>
      </c>
      <c r="B158" s="260">
        <v>8760</v>
      </c>
      <c r="C158" s="247">
        <f>[1]LROW!C521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1"/>
  </sheetPr>
  <dimension ref="B2:C20"/>
  <sheetViews>
    <sheetView workbookViewId="0">
      <selection activeCell="C39" sqref="C39"/>
    </sheetView>
  </sheetViews>
  <sheetFormatPr baseColWidth="10" defaultRowHeight="14.5" x14ac:dyDescent="0.35"/>
  <cols>
    <col min="2" max="2" width="43.81640625" bestFit="1" customWidth="1"/>
    <col min="3" max="3" width="36.1796875" bestFit="1" customWidth="1"/>
  </cols>
  <sheetData>
    <row r="2" spans="2:3" x14ac:dyDescent="0.35">
      <c r="B2" s="291" t="s">
        <v>631</v>
      </c>
      <c r="C2" s="274">
        <v>1</v>
      </c>
    </row>
    <row r="3" spans="2:3" x14ac:dyDescent="0.35">
      <c r="B3" s="291" t="s">
        <v>630</v>
      </c>
      <c r="C3" s="274">
        <v>1</v>
      </c>
    </row>
    <row r="4" spans="2:3" x14ac:dyDescent="0.35">
      <c r="B4" s="291" t="s">
        <v>641</v>
      </c>
      <c r="C4" s="274">
        <v>1</v>
      </c>
    </row>
    <row r="5" spans="2:3" x14ac:dyDescent="0.35">
      <c r="B5" s="291" t="s">
        <v>640</v>
      </c>
      <c r="C5" s="274">
        <v>3</v>
      </c>
    </row>
    <row r="7" spans="2:3" x14ac:dyDescent="0.35">
      <c r="B7" s="272" t="s">
        <v>632</v>
      </c>
      <c r="C7" s="273" t="s">
        <v>633</v>
      </c>
    </row>
    <row r="8" spans="2:3" x14ac:dyDescent="0.35">
      <c r="B8" s="53" t="s">
        <v>634</v>
      </c>
      <c r="C8" s="50" t="s">
        <v>560</v>
      </c>
    </row>
    <row r="9" spans="2:3" x14ac:dyDescent="0.35">
      <c r="B9" s="272" t="s">
        <v>635</v>
      </c>
      <c r="C9" s="274">
        <v>0.2</v>
      </c>
    </row>
    <row r="10" spans="2:3" x14ac:dyDescent="0.35">
      <c r="B10" s="272" t="s">
        <v>636</v>
      </c>
      <c r="C10" s="274">
        <v>0.2</v>
      </c>
    </row>
    <row r="11" spans="2:3" x14ac:dyDescent="0.35">
      <c r="B11" s="272" t="s">
        <v>637</v>
      </c>
      <c r="C11" s="274">
        <v>0.2</v>
      </c>
    </row>
    <row r="12" spans="2:3" x14ac:dyDescent="0.35">
      <c r="B12" s="272" t="s">
        <v>638</v>
      </c>
      <c r="C12" s="274">
        <v>0.2</v>
      </c>
    </row>
    <row r="13" spans="2:3" x14ac:dyDescent="0.35">
      <c r="B13" s="272" t="s">
        <v>639</v>
      </c>
      <c r="C13" s="274">
        <v>0.2</v>
      </c>
    </row>
    <row r="15" spans="2:3" x14ac:dyDescent="0.35">
      <c r="B15" s="272" t="s">
        <v>642</v>
      </c>
    </row>
    <row r="16" spans="2:3" x14ac:dyDescent="0.35">
      <c r="B16" s="50" t="s">
        <v>560</v>
      </c>
      <c r="C16" s="273" t="s">
        <v>558</v>
      </c>
    </row>
    <row r="17" spans="2:3" x14ac:dyDescent="0.35">
      <c r="B17" s="272" t="s">
        <v>562</v>
      </c>
      <c r="C17" s="275">
        <v>0.25</v>
      </c>
    </row>
    <row r="18" spans="2:3" x14ac:dyDescent="0.35">
      <c r="B18" s="272" t="s">
        <v>563</v>
      </c>
      <c r="C18" s="275">
        <v>0.25</v>
      </c>
    </row>
    <row r="19" spans="2:3" x14ac:dyDescent="0.35">
      <c r="B19" s="272" t="s">
        <v>564</v>
      </c>
      <c r="C19" s="274">
        <v>0.25</v>
      </c>
    </row>
    <row r="20" spans="2:3" x14ac:dyDescent="0.35">
      <c r="B20" s="272" t="s">
        <v>565</v>
      </c>
      <c r="C20" s="275">
        <v>0.25</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4">
    <tabColor theme="1"/>
  </sheetPr>
  <dimension ref="A1:CRM854"/>
  <sheetViews>
    <sheetView topLeftCell="N136" zoomScale="115" zoomScaleNormal="115" workbookViewId="0">
      <selection activeCell="X257" sqref="X257"/>
    </sheetView>
  </sheetViews>
  <sheetFormatPr baseColWidth="10" defaultColWidth="11.453125" defaultRowHeight="14.5" x14ac:dyDescent="0.35"/>
  <cols>
    <col min="1" max="1" width="60.54296875" customWidth="1"/>
    <col min="2" max="2" width="61.54296875" style="30" customWidth="1"/>
    <col min="3" max="3" width="20.453125" customWidth="1"/>
    <col min="4" max="4" width="33.453125" customWidth="1"/>
    <col min="5" max="5" width="21.453125" customWidth="1"/>
    <col min="6" max="6" width="14.453125" bestFit="1" customWidth="1"/>
    <col min="7" max="7" width="13.453125" bestFit="1" customWidth="1"/>
    <col min="8" max="11" width="13.81640625" bestFit="1" customWidth="1"/>
    <col min="12" max="18" width="14.453125" bestFit="1" customWidth="1"/>
    <col min="19" max="20" width="14" bestFit="1" customWidth="1"/>
    <col min="21" max="21" width="14.453125" bestFit="1" customWidth="1"/>
    <col min="22" max="22" width="13.453125" bestFit="1" customWidth="1"/>
    <col min="23" max="23" width="15.1796875" customWidth="1"/>
    <col min="24" max="24" width="15.453125" customWidth="1"/>
    <col min="25" max="25" width="24.453125" customWidth="1"/>
    <col min="27" max="28" width="13.453125" bestFit="1" customWidth="1"/>
    <col min="29" max="29" width="41.54296875" bestFit="1" customWidth="1"/>
  </cols>
  <sheetData>
    <row r="1" spans="1:32" ht="31" x14ac:dyDescent="0.7">
      <c r="A1" s="1" t="s">
        <v>0</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row>
    <row r="2" spans="1:32" ht="15" thickBot="1" x14ac:dyDescent="0.4">
      <c r="A2" s="3" t="s">
        <v>1</v>
      </c>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row>
    <row r="3" spans="1:32" ht="15" thickBot="1" x14ac:dyDescent="0.4">
      <c r="B3" s="4" t="s">
        <v>2</v>
      </c>
      <c r="C3" s="5"/>
      <c r="D3" s="6">
        <v>1995</v>
      </c>
      <c r="E3" s="6">
        <v>1996</v>
      </c>
      <c r="F3" s="6">
        <v>1997</v>
      </c>
      <c r="G3" s="6">
        <v>1998</v>
      </c>
      <c r="H3" s="6">
        <v>1999</v>
      </c>
      <c r="I3" s="6">
        <v>2000</v>
      </c>
      <c r="J3" s="6">
        <v>2001</v>
      </c>
      <c r="K3" s="6">
        <v>2002</v>
      </c>
      <c r="L3" s="6">
        <v>2003</v>
      </c>
      <c r="M3" s="6">
        <v>2004</v>
      </c>
      <c r="N3" s="6">
        <v>2005</v>
      </c>
      <c r="O3" s="6">
        <v>2006</v>
      </c>
      <c r="P3" s="6">
        <v>2007</v>
      </c>
      <c r="Q3" s="6">
        <v>2008</v>
      </c>
      <c r="R3" s="6">
        <v>2009</v>
      </c>
      <c r="S3" s="6">
        <v>2010</v>
      </c>
      <c r="T3" s="6">
        <v>2011</v>
      </c>
      <c r="U3" s="6">
        <v>2012</v>
      </c>
      <c r="V3" s="6">
        <v>2013</v>
      </c>
      <c r="W3" s="6">
        <v>2014</v>
      </c>
      <c r="X3" s="7">
        <v>2015</v>
      </c>
      <c r="Y3" s="8">
        <v>2016</v>
      </c>
    </row>
    <row r="4" spans="1:32" x14ac:dyDescent="0.35">
      <c r="A4" s="310" t="s">
        <v>8</v>
      </c>
      <c r="B4" s="16" t="s">
        <v>9</v>
      </c>
      <c r="C4" s="17" t="s">
        <v>10</v>
      </c>
      <c r="D4" s="18">
        <v>1.0602575075341525</v>
      </c>
      <c r="E4" s="18">
        <v>1.1056776788632727</v>
      </c>
      <c r="F4" s="18">
        <v>1.2903463301151419</v>
      </c>
      <c r="G4" s="18">
        <v>1.4172025337438179</v>
      </c>
      <c r="H4" s="18">
        <v>1.4737016614421428</v>
      </c>
      <c r="I4" s="18">
        <v>2.6459843451365654</v>
      </c>
      <c r="J4" s="18">
        <v>2.7048717825313453</v>
      </c>
      <c r="K4" s="18">
        <v>3.1296715450102379</v>
      </c>
      <c r="L4" s="18">
        <v>3.4697200909205494</v>
      </c>
      <c r="M4" s="18">
        <v>3.9555142957287224</v>
      </c>
      <c r="N4" s="18">
        <v>3.9560890176996315</v>
      </c>
      <c r="O4" s="18">
        <v>4.200681334685477</v>
      </c>
      <c r="P4" s="18">
        <v>4.5682172897939228</v>
      </c>
      <c r="Q4" s="18">
        <v>5.2127585981961264</v>
      </c>
      <c r="R4" s="18">
        <v>5.5578789882194757</v>
      </c>
      <c r="S4" s="18">
        <v>6.3839712444101071</v>
      </c>
      <c r="T4" s="18">
        <v>7.8826612540580649</v>
      </c>
      <c r="U4" s="18">
        <v>9.3813512637060299</v>
      </c>
      <c r="V4" s="18">
        <v>10.880041273353999</v>
      </c>
      <c r="W4" s="18">
        <v>12.378731283001899</v>
      </c>
      <c r="X4" s="19">
        <v>13.877421292649901</v>
      </c>
    </row>
    <row r="5" spans="1:32" x14ac:dyDescent="0.35">
      <c r="A5" s="311"/>
      <c r="B5" s="43" t="s">
        <v>11</v>
      </c>
      <c r="C5" s="9" t="s">
        <v>10</v>
      </c>
      <c r="D5" s="10">
        <v>1.2779344700159663</v>
      </c>
      <c r="E5" s="10">
        <v>1.3548112305831623</v>
      </c>
      <c r="F5" s="10">
        <v>1.4597823428573315</v>
      </c>
      <c r="G5" s="10">
        <v>1.6409697963227261</v>
      </c>
      <c r="H5" s="10">
        <v>1.6869119403665676</v>
      </c>
      <c r="I5" s="10">
        <v>1.7427730974322593</v>
      </c>
      <c r="J5" s="10">
        <v>1.9657612858624163</v>
      </c>
      <c r="K5" s="10">
        <v>2.0760554776445383</v>
      </c>
      <c r="L5" s="10">
        <v>2.2113588514111604</v>
      </c>
      <c r="M5" s="10">
        <v>2.448984753192105</v>
      </c>
      <c r="N5" s="10">
        <v>2.6410048917620728</v>
      </c>
      <c r="O5" s="10">
        <v>3.0115935233181221</v>
      </c>
      <c r="P5" s="10">
        <v>3.6728311149610593</v>
      </c>
      <c r="Q5" s="10">
        <v>4.8938616547070231</v>
      </c>
      <c r="R5" s="10">
        <v>5.9799637996472681</v>
      </c>
      <c r="S5" s="10">
        <v>8.6019898034907438</v>
      </c>
      <c r="T5" s="10">
        <v>11.335682793297288</v>
      </c>
      <c r="U5" s="10">
        <v>14.0693757831038</v>
      </c>
      <c r="V5" s="10">
        <v>16.8030687729104</v>
      </c>
      <c r="W5" s="10">
        <v>19.5367617627169</v>
      </c>
      <c r="X5" s="11">
        <v>22.270454752523399</v>
      </c>
    </row>
    <row r="6" spans="1:32" x14ac:dyDescent="0.35">
      <c r="A6" s="311"/>
      <c r="B6" s="43"/>
      <c r="C6" s="9"/>
      <c r="D6" s="10"/>
      <c r="E6" s="10"/>
      <c r="F6" s="10"/>
      <c r="G6" s="10"/>
      <c r="H6" s="10"/>
      <c r="I6" s="10"/>
      <c r="J6" s="10"/>
      <c r="K6" s="10"/>
      <c r="L6" s="10"/>
      <c r="M6" s="10"/>
      <c r="N6" s="10"/>
      <c r="O6" s="10"/>
      <c r="P6" s="10"/>
      <c r="Q6" s="10"/>
      <c r="R6" s="10"/>
      <c r="S6" s="10"/>
      <c r="T6" s="10"/>
      <c r="U6" s="10"/>
      <c r="V6" s="10"/>
      <c r="W6" s="10"/>
      <c r="X6" s="11"/>
    </row>
    <row r="7" spans="1:32" x14ac:dyDescent="0.35">
      <c r="A7" s="311"/>
      <c r="B7" s="43"/>
      <c r="C7" s="9"/>
      <c r="D7" s="10"/>
      <c r="E7" s="10"/>
      <c r="F7" s="10"/>
      <c r="G7" s="10"/>
      <c r="H7" s="10"/>
      <c r="I7" s="10"/>
      <c r="J7" s="10"/>
      <c r="K7" s="10"/>
      <c r="L7" s="10"/>
      <c r="M7" s="10"/>
      <c r="N7" s="10"/>
      <c r="O7" s="10"/>
      <c r="P7" s="10"/>
      <c r="Q7" s="10"/>
      <c r="R7" s="10"/>
      <c r="S7" s="10"/>
      <c r="T7" s="10"/>
      <c r="U7" s="10"/>
      <c r="V7" s="10"/>
      <c r="W7" s="10"/>
      <c r="X7" s="11"/>
    </row>
    <row r="8" spans="1:32" x14ac:dyDescent="0.35">
      <c r="A8" s="311"/>
      <c r="B8" s="43"/>
      <c r="C8" s="9"/>
      <c r="D8" s="10"/>
      <c r="E8" s="10"/>
      <c r="F8" s="10"/>
      <c r="G8" s="10"/>
      <c r="H8" s="10"/>
      <c r="I8" s="10"/>
      <c r="J8" s="10"/>
      <c r="K8" s="10"/>
      <c r="L8" s="10"/>
      <c r="M8" s="10"/>
      <c r="N8" s="10"/>
      <c r="O8" s="10"/>
      <c r="P8" s="10"/>
      <c r="Q8" s="10"/>
      <c r="R8" s="10"/>
      <c r="S8" s="10"/>
      <c r="T8" s="10"/>
      <c r="U8" s="10"/>
      <c r="V8" s="10"/>
      <c r="W8" s="10"/>
      <c r="X8" s="11"/>
    </row>
    <row r="9" spans="1:32" x14ac:dyDescent="0.35">
      <c r="A9" s="311"/>
      <c r="B9" s="43"/>
      <c r="C9" s="9"/>
      <c r="D9" s="10"/>
      <c r="E9" s="10"/>
      <c r="F9" s="10"/>
      <c r="G9" s="10"/>
      <c r="H9" s="10"/>
      <c r="I9" s="10"/>
      <c r="J9" s="10"/>
      <c r="K9" s="10"/>
      <c r="L9" s="10"/>
      <c r="M9" s="10"/>
      <c r="N9" s="10"/>
      <c r="O9" s="10"/>
      <c r="P9" s="10"/>
      <c r="Q9" s="10"/>
      <c r="R9" s="10"/>
      <c r="S9" s="10"/>
      <c r="T9" s="10"/>
      <c r="U9" s="10"/>
      <c r="V9" s="10"/>
      <c r="W9" s="10"/>
      <c r="X9" s="11"/>
    </row>
    <row r="10" spans="1:32" ht="15" thickBot="1" x14ac:dyDescent="0.4">
      <c r="A10" s="312"/>
      <c r="B10" s="226"/>
      <c r="C10" s="20"/>
      <c r="D10" s="21"/>
      <c r="E10" s="21"/>
      <c r="F10" s="21"/>
      <c r="G10" s="21"/>
      <c r="H10" s="21"/>
      <c r="I10" s="21"/>
      <c r="J10" s="21"/>
      <c r="K10" s="21"/>
      <c r="L10" s="21"/>
      <c r="M10" s="21"/>
      <c r="N10" s="21"/>
      <c r="O10" s="21"/>
      <c r="P10" s="21"/>
      <c r="Q10" s="21"/>
      <c r="R10" s="21"/>
      <c r="S10" s="21"/>
      <c r="T10" s="21"/>
      <c r="U10" s="21"/>
      <c r="V10" s="21"/>
      <c r="W10" s="21"/>
      <c r="X10" s="22"/>
    </row>
    <row r="11" spans="1:32" x14ac:dyDescent="0.35">
      <c r="A11" s="313" t="s">
        <v>12</v>
      </c>
      <c r="B11" s="23" t="s">
        <v>13</v>
      </c>
      <c r="C11" s="24" t="s">
        <v>4</v>
      </c>
      <c r="D11" s="25">
        <v>0.15348010384558358</v>
      </c>
      <c r="E11" s="25">
        <v>0.14549591639715465</v>
      </c>
      <c r="F11" s="25">
        <v>0.14182892835743108</v>
      </c>
      <c r="G11" s="25">
        <v>0.14296579232485399</v>
      </c>
      <c r="H11" s="25">
        <v>0.13485972574217392</v>
      </c>
      <c r="I11" s="25">
        <v>0.12404681743507721</v>
      </c>
      <c r="J11" s="25">
        <v>0.12081688214152479</v>
      </c>
      <c r="K11" s="25">
        <v>0.11431542521211846</v>
      </c>
      <c r="L11" s="25">
        <v>0.10884459587869497</v>
      </c>
      <c r="M11" s="25">
        <v>0.10414414420731684</v>
      </c>
      <c r="N11" s="25">
        <v>9.6810212201548604E-2</v>
      </c>
      <c r="O11" s="25">
        <v>8.5179488457883104E-2</v>
      </c>
      <c r="P11" s="25">
        <v>8.0043448952708957E-2</v>
      </c>
      <c r="Q11" s="25">
        <v>7.6427006484653531E-2</v>
      </c>
      <c r="R11" s="25">
        <v>7.0742277269640899E-2</v>
      </c>
      <c r="S11" s="25">
        <v>6.3623533935028495E-2</v>
      </c>
      <c r="T11" s="25">
        <v>6.2520709174501282E-2</v>
      </c>
      <c r="U11" s="25">
        <v>6.1748873557188617E-2</v>
      </c>
      <c r="V11" s="25">
        <v>6.1881366669977358E-2</v>
      </c>
      <c r="W11" s="25">
        <v>6.1738272785309682E-2</v>
      </c>
      <c r="X11" s="26">
        <v>6.1736135774793574E-2</v>
      </c>
    </row>
    <row r="12" spans="1:32" x14ac:dyDescent="0.35">
      <c r="A12" s="314"/>
      <c r="B12" s="43" t="s">
        <v>14</v>
      </c>
      <c r="C12" s="9" t="s">
        <v>4</v>
      </c>
      <c r="D12" s="10">
        <v>0.22413023824294928</v>
      </c>
      <c r="E12" s="10">
        <v>0.2217251120457687</v>
      </c>
      <c r="F12" s="10">
        <v>0.23386523401297685</v>
      </c>
      <c r="G12" s="10">
        <v>0.24495146040651222</v>
      </c>
      <c r="H12" s="10">
        <v>0.25808112961507557</v>
      </c>
      <c r="I12" s="10">
        <v>0.25895336806622182</v>
      </c>
      <c r="J12" s="10">
        <v>0.26839279928237941</v>
      </c>
      <c r="K12" s="10">
        <v>0.27342594449637159</v>
      </c>
      <c r="L12" s="10">
        <v>0.26962043633910304</v>
      </c>
      <c r="M12" s="10">
        <v>0.27883101711252167</v>
      </c>
      <c r="N12" s="10">
        <v>0.28083848258037541</v>
      </c>
      <c r="O12" s="10">
        <v>0.28373606863189066</v>
      </c>
      <c r="P12" s="10">
        <v>0.28937632319005824</v>
      </c>
      <c r="Q12" s="10">
        <v>0.29916526010769801</v>
      </c>
      <c r="R12" s="10">
        <v>0.30729797046633461</v>
      </c>
      <c r="S12" s="10">
        <v>0.31046395435507762</v>
      </c>
      <c r="T12" s="10">
        <v>0.30204108495613075</v>
      </c>
      <c r="U12" s="10">
        <v>0.31079123544643</v>
      </c>
      <c r="V12" s="10">
        <v>0.29805204560119991</v>
      </c>
      <c r="W12" s="10">
        <v>0.30326742711461208</v>
      </c>
      <c r="X12" s="10">
        <v>0.29940852134393198</v>
      </c>
      <c r="Y12" t="str">
        <f>+B25</f>
        <v>Biofuels</v>
      </c>
    </row>
    <row r="13" spans="1:32" s="29" customFormat="1" x14ac:dyDescent="0.35">
      <c r="A13" s="314"/>
      <c r="B13" s="43" t="s">
        <v>15</v>
      </c>
      <c r="C13" s="24" t="s">
        <v>4</v>
      </c>
      <c r="D13" s="10">
        <v>0.30326742711461208</v>
      </c>
      <c r="E13" s="27"/>
      <c r="F13" s="27"/>
      <c r="G13" s="27"/>
      <c r="H13" s="27"/>
      <c r="I13" s="27"/>
      <c r="J13" s="27"/>
      <c r="K13" s="27"/>
      <c r="L13" s="27"/>
      <c r="M13" s="27"/>
      <c r="N13" s="27"/>
      <c r="O13" s="27"/>
      <c r="P13" s="27"/>
      <c r="Q13" s="27"/>
      <c r="R13" s="27"/>
      <c r="S13" s="27"/>
      <c r="T13" s="27"/>
      <c r="U13" s="27"/>
      <c r="V13" s="27"/>
      <c r="W13" s="27"/>
      <c r="X13" s="28"/>
    </row>
    <row r="14" spans="1:32" x14ac:dyDescent="0.35">
      <c r="A14" s="314"/>
      <c r="B14" t="s">
        <v>16</v>
      </c>
      <c r="C14" s="24" t="s">
        <v>4</v>
      </c>
      <c r="D14" s="30">
        <v>6.7529547502664572E-2</v>
      </c>
      <c r="E14" s="10"/>
      <c r="F14" s="10"/>
      <c r="G14" s="10"/>
      <c r="H14" s="10"/>
      <c r="I14" s="10"/>
      <c r="J14" s="10"/>
      <c r="K14" s="10"/>
      <c r="L14" s="10"/>
      <c r="M14" s="10"/>
      <c r="N14" s="10"/>
      <c r="O14" s="10"/>
      <c r="P14" s="10"/>
      <c r="Q14" s="10"/>
      <c r="R14" s="10"/>
      <c r="S14" s="10"/>
      <c r="T14" s="10"/>
      <c r="U14" s="10"/>
      <c r="V14" s="10"/>
      <c r="W14" s="10"/>
      <c r="X14" s="11"/>
    </row>
    <row r="15" spans="1:32" s="29" customFormat="1" ht="15" thickBot="1" x14ac:dyDescent="0.4">
      <c r="A15" s="315"/>
      <c r="B15" t="s">
        <v>17</v>
      </c>
      <c r="C15" s="24" t="s">
        <v>4</v>
      </c>
      <c r="D15" s="30">
        <v>6.1736135774793574E-2</v>
      </c>
      <c r="E15" s="15"/>
      <c r="F15" s="15"/>
      <c r="G15" s="15"/>
      <c r="H15" s="15"/>
      <c r="I15" s="15"/>
      <c r="J15" s="15"/>
      <c r="K15" s="15"/>
      <c r="L15" s="15"/>
      <c r="M15" s="15"/>
      <c r="N15" s="15"/>
      <c r="O15" s="15"/>
      <c r="P15" s="15"/>
      <c r="Q15" s="15"/>
      <c r="R15" s="15"/>
      <c r="S15" s="15"/>
      <c r="T15" s="15"/>
      <c r="U15" s="15"/>
      <c r="V15" s="15"/>
      <c r="W15" s="15"/>
      <c r="X15" s="31"/>
    </row>
    <row r="16" spans="1:32" x14ac:dyDescent="0.35">
      <c r="A16" s="310" t="s">
        <v>18</v>
      </c>
      <c r="B16" s="16"/>
      <c r="C16" s="17"/>
      <c r="D16" s="18"/>
      <c r="E16" s="18"/>
      <c r="F16" s="18"/>
      <c r="G16" s="18"/>
      <c r="H16" s="18"/>
      <c r="I16" s="18"/>
      <c r="J16" s="18"/>
      <c r="K16" s="18"/>
      <c r="L16" s="18"/>
      <c r="M16" s="18"/>
      <c r="N16" s="18"/>
      <c r="O16" s="18"/>
      <c r="P16" s="18"/>
      <c r="Q16" s="18"/>
      <c r="R16" s="18"/>
      <c r="S16" s="18"/>
      <c r="T16" s="18"/>
      <c r="U16" s="18"/>
      <c r="V16" s="18"/>
      <c r="W16" s="18"/>
      <c r="X16" s="19"/>
    </row>
    <row r="17" spans="1:26" x14ac:dyDescent="0.35">
      <c r="A17" s="311"/>
      <c r="B17" s="43" t="s">
        <v>19</v>
      </c>
      <c r="C17" s="9" t="s">
        <v>20</v>
      </c>
      <c r="D17" s="10">
        <v>31.558604589999998</v>
      </c>
      <c r="E17" s="10">
        <v>32.226706389999997</v>
      </c>
      <c r="F17" s="10">
        <v>32.507727869999997</v>
      </c>
      <c r="G17" s="10">
        <v>32.700065850000001</v>
      </c>
      <c r="H17" s="10">
        <v>32.970280429999995</v>
      </c>
      <c r="I17" s="10">
        <v>33.886615120000002</v>
      </c>
      <c r="J17" s="10">
        <v>34.257150869999997</v>
      </c>
      <c r="K17" s="10">
        <v>34.852068850000002</v>
      </c>
      <c r="L17" s="10">
        <v>36.152102620000001</v>
      </c>
      <c r="M17" s="10">
        <v>37.607347959999998</v>
      </c>
      <c r="N17" s="10">
        <v>38.78192774</v>
      </c>
      <c r="O17" s="10">
        <v>39.88996925</v>
      </c>
      <c r="P17" s="10">
        <v>41.135071250000003</v>
      </c>
      <c r="Q17" s="10">
        <v>41.52499632</v>
      </c>
      <c r="R17" s="10">
        <v>41.236892529999999</v>
      </c>
      <c r="S17" s="10">
        <v>42.968090549999999</v>
      </c>
      <c r="T17" s="10">
        <v>44.190652579999998</v>
      </c>
      <c r="U17" s="10">
        <v>44.815535140000001</v>
      </c>
      <c r="V17" s="10">
        <f>U17</f>
        <v>44.815535140000001</v>
      </c>
      <c r="W17" s="10">
        <f t="shared" ref="W17:X18" si="0">V17</f>
        <v>44.815535140000001</v>
      </c>
      <c r="X17" s="10">
        <f t="shared" si="0"/>
        <v>44.815535140000001</v>
      </c>
    </row>
    <row r="18" spans="1:26" s="32" customFormat="1" ht="15" thickBot="1" x14ac:dyDescent="0.4">
      <c r="A18" s="312"/>
      <c r="B18" s="226" t="s">
        <v>21</v>
      </c>
      <c r="C18" s="20" t="s">
        <v>22</v>
      </c>
      <c r="D18" s="21">
        <v>34.30997387</v>
      </c>
      <c r="E18" s="21">
        <v>34.980051639999999</v>
      </c>
      <c r="F18" s="21">
        <v>35.412702469999999</v>
      </c>
      <c r="G18" s="21">
        <v>35.683946689999999</v>
      </c>
      <c r="H18" s="21">
        <v>35.828676019999996</v>
      </c>
      <c r="I18" s="21">
        <v>36.679717360000005</v>
      </c>
      <c r="J18" s="21">
        <v>37.366037279999993</v>
      </c>
      <c r="K18" s="21">
        <v>38.123233560000003</v>
      </c>
      <c r="L18" s="21">
        <v>39.449471089999996</v>
      </c>
      <c r="M18" s="21">
        <v>40.841061029999999</v>
      </c>
      <c r="N18" s="21">
        <v>42.000972150000003</v>
      </c>
      <c r="O18" s="21">
        <v>42.779408119999999</v>
      </c>
      <c r="P18" s="21">
        <v>43.915810010000001</v>
      </c>
      <c r="Q18" s="21">
        <v>44.372423470000001</v>
      </c>
      <c r="R18" s="21">
        <v>44.002558739999998</v>
      </c>
      <c r="S18" s="21">
        <v>45.747709900000004</v>
      </c>
      <c r="T18" s="21">
        <v>46.905716810000001</v>
      </c>
      <c r="U18" s="21">
        <v>47.598554159999999</v>
      </c>
      <c r="V18" s="21">
        <f>U18</f>
        <v>47.598554159999999</v>
      </c>
      <c r="W18" s="21">
        <f t="shared" si="0"/>
        <v>47.598554159999999</v>
      </c>
      <c r="X18" s="21">
        <f t="shared" si="0"/>
        <v>47.598554159999999</v>
      </c>
    </row>
    <row r="19" spans="1:26" s="32" customFormat="1" x14ac:dyDescent="0.35">
      <c r="A19" s="316" t="s">
        <v>23</v>
      </c>
      <c r="B19" s="23" t="s">
        <v>24</v>
      </c>
      <c r="C19" s="24" t="s">
        <v>10</v>
      </c>
      <c r="D19" s="25">
        <v>75.665913569999987</v>
      </c>
      <c r="E19" s="25">
        <v>78.366870370000001</v>
      </c>
      <c r="F19" s="25">
        <v>79.219433730000006</v>
      </c>
      <c r="G19" s="25">
        <v>79.978466409999996</v>
      </c>
      <c r="H19" s="25">
        <v>83.565395769999995</v>
      </c>
      <c r="I19" s="25">
        <v>86.71736648000001</v>
      </c>
      <c r="J19" s="25">
        <v>87.340858830000002</v>
      </c>
      <c r="K19" s="25">
        <v>90.284201760000002</v>
      </c>
      <c r="L19" s="25">
        <v>93.606645270000001</v>
      </c>
      <c r="M19" s="25">
        <v>95.946042669999997</v>
      </c>
      <c r="N19" s="25">
        <v>98.804925870000005</v>
      </c>
      <c r="O19" s="25">
        <v>101.3465432</v>
      </c>
      <c r="P19" s="25">
        <v>105.81270529000001</v>
      </c>
      <c r="Q19" s="25">
        <v>108.54881217000001</v>
      </c>
      <c r="R19" s="25">
        <v>106.19365766</v>
      </c>
      <c r="S19" s="25">
        <v>114.56974331999999</v>
      </c>
      <c r="T19" s="25">
        <v>116.8379315</v>
      </c>
      <c r="U19" s="25">
        <v>119.01788815</v>
      </c>
      <c r="V19" s="25">
        <v>121.63895194</v>
      </c>
      <c r="W19" s="25">
        <v>121.4414386</v>
      </c>
      <c r="X19" s="25">
        <v>124.264514002</v>
      </c>
    </row>
    <row r="20" spans="1:26" s="29" customFormat="1" x14ac:dyDescent="0.35">
      <c r="A20" s="316"/>
      <c r="B20" s="43" t="s">
        <v>25</v>
      </c>
      <c r="C20" s="9" t="s">
        <v>10</v>
      </c>
      <c r="D20" s="10">
        <v>92.453249450000001</v>
      </c>
      <c r="E20" s="10">
        <v>93.941720360000005</v>
      </c>
      <c r="F20" s="10">
        <v>93.280115649999999</v>
      </c>
      <c r="G20" s="10">
        <v>92.949875480000003</v>
      </c>
      <c r="H20" s="10">
        <v>93.379318480000009</v>
      </c>
      <c r="I20" s="10">
        <v>96.964042120000002</v>
      </c>
      <c r="J20" s="10">
        <v>98.541939560000003</v>
      </c>
      <c r="K20" s="10">
        <v>101.84921095</v>
      </c>
      <c r="L20" s="10">
        <v>109.64058717</v>
      </c>
      <c r="M20" s="10">
        <v>118.38527423000001</v>
      </c>
      <c r="N20" s="10">
        <v>125.31717954000001</v>
      </c>
      <c r="O20" s="10">
        <v>132.88631276000001</v>
      </c>
      <c r="P20" s="10">
        <v>139.99693690000001</v>
      </c>
      <c r="Q20" s="10">
        <v>141.69452609000001</v>
      </c>
      <c r="R20" s="10">
        <v>142.03754203</v>
      </c>
      <c r="S20" s="10">
        <v>153.09457012000001</v>
      </c>
      <c r="T20" s="10">
        <v>159.30506496999999</v>
      </c>
      <c r="U20" s="10">
        <v>161.13494471999999</v>
      </c>
      <c r="V20" s="10">
        <v>163.10375116</v>
      </c>
      <c r="W20" s="10">
        <v>164.05938972999999</v>
      </c>
      <c r="X20" s="10">
        <v>167.85804176299999</v>
      </c>
    </row>
    <row r="21" spans="1:26" s="29" customFormat="1" x14ac:dyDescent="0.35">
      <c r="A21" s="316"/>
      <c r="B21" s="43" t="s">
        <v>26</v>
      </c>
      <c r="C21" s="9" t="s">
        <v>10</v>
      </c>
      <c r="D21" s="10">
        <v>132.80839306000001</v>
      </c>
      <c r="E21" s="10">
        <v>137.36404604000001</v>
      </c>
      <c r="F21" s="10">
        <v>141.79097772999998</v>
      </c>
      <c r="G21" s="10">
        <v>141.76275527000001</v>
      </c>
      <c r="H21" s="10">
        <v>141.88197549</v>
      </c>
      <c r="I21" s="10">
        <v>145.06952113999998</v>
      </c>
      <c r="J21" s="10">
        <v>145.86612486000001</v>
      </c>
      <c r="K21" s="10">
        <v>145.76086142</v>
      </c>
      <c r="L21" s="10">
        <v>150.04828162000001</v>
      </c>
      <c r="M21" s="10">
        <v>155.18872345</v>
      </c>
      <c r="N21" s="10">
        <v>156.55082522999999</v>
      </c>
      <c r="O21" s="10">
        <v>157.51828895</v>
      </c>
      <c r="P21" s="10">
        <v>157.66610618999999</v>
      </c>
      <c r="Q21" s="10">
        <v>158.66583971</v>
      </c>
      <c r="R21" s="10">
        <v>155.59725259999999</v>
      </c>
      <c r="S21" s="10">
        <v>158.77309869999999</v>
      </c>
      <c r="T21" s="10">
        <v>158.73186157000001</v>
      </c>
      <c r="U21" s="10">
        <v>162.40275298</v>
      </c>
      <c r="V21" s="10">
        <v>160.97799774999999</v>
      </c>
      <c r="W21" s="10">
        <v>164.03661609</v>
      </c>
      <c r="X21" s="10">
        <v>164.81641670600001</v>
      </c>
    </row>
    <row r="22" spans="1:26" s="32" customFormat="1" x14ac:dyDescent="0.35">
      <c r="A22" s="316"/>
      <c r="B22" s="43" t="s">
        <v>27</v>
      </c>
      <c r="C22" s="9" t="s">
        <v>10</v>
      </c>
      <c r="D22" s="10">
        <v>141.33118687000001</v>
      </c>
      <c r="E22" s="10">
        <v>145.00410076</v>
      </c>
      <c r="F22" s="10">
        <v>148.65399012999998</v>
      </c>
      <c r="G22" s="10">
        <v>149.01796758</v>
      </c>
      <c r="H22" s="10">
        <v>151.92545035000001</v>
      </c>
      <c r="I22" s="10">
        <v>153.21595617</v>
      </c>
      <c r="J22" s="10">
        <v>155.10573027999999</v>
      </c>
      <c r="K22" s="10">
        <v>156.46599387999998</v>
      </c>
      <c r="L22" s="10">
        <v>159.69866318999999</v>
      </c>
      <c r="M22" s="10">
        <v>166.13078963999999</v>
      </c>
      <c r="N22" s="10">
        <v>167.60699336000002</v>
      </c>
      <c r="O22" s="10">
        <v>169.70260508000001</v>
      </c>
      <c r="P22" s="10">
        <v>170.88399325999998</v>
      </c>
      <c r="Q22" s="10">
        <v>170.99991855000002</v>
      </c>
      <c r="R22" s="10">
        <v>167.93633169</v>
      </c>
      <c r="S22" s="10">
        <v>173.24536827</v>
      </c>
      <c r="T22" s="10">
        <v>173.30416877000002</v>
      </c>
      <c r="U22" s="10">
        <v>176.88721836000002</v>
      </c>
      <c r="V22" s="10">
        <v>176.50335453</v>
      </c>
      <c r="W22" s="10">
        <v>179.41696216999998</v>
      </c>
      <c r="X22" s="10">
        <v>180.534126488</v>
      </c>
    </row>
    <row r="23" spans="1:26" s="32" customFormat="1" x14ac:dyDescent="0.35">
      <c r="A23" s="316"/>
      <c r="B23" s="43" t="s">
        <v>28</v>
      </c>
      <c r="C23" s="9" t="s">
        <v>10</v>
      </c>
      <c r="D23" s="10">
        <v>386.32755367999999</v>
      </c>
      <c r="E23" s="10">
        <v>395.99083281999998</v>
      </c>
      <c r="F23" s="10">
        <v>400.11296999000001</v>
      </c>
      <c r="G23" s="10">
        <v>402.05673523000002</v>
      </c>
      <c r="H23" s="10">
        <v>410.72494535000004</v>
      </c>
      <c r="I23" s="10">
        <v>420.22447686000004</v>
      </c>
      <c r="J23" s="10">
        <v>424.76838970999995</v>
      </c>
      <c r="K23" s="10">
        <v>433.61047764</v>
      </c>
      <c r="L23" s="10">
        <v>448.95249226999999</v>
      </c>
      <c r="M23" s="10">
        <v>469.50612458999996</v>
      </c>
      <c r="N23" s="10">
        <v>482.86261257999996</v>
      </c>
      <c r="O23" s="10">
        <v>497.09219364999996</v>
      </c>
      <c r="P23" s="10">
        <v>510.91597730000001</v>
      </c>
      <c r="Q23" s="10">
        <v>517.61014845</v>
      </c>
      <c r="R23" s="10">
        <v>513.61450861000003</v>
      </c>
      <c r="S23" s="10">
        <v>542.27005470000006</v>
      </c>
      <c r="T23" s="10">
        <v>550.58678017</v>
      </c>
      <c r="U23" s="10">
        <v>559.9193788099999</v>
      </c>
      <c r="V23" s="10">
        <v>567.27428163000002</v>
      </c>
      <c r="W23" s="10">
        <v>573.55505552</v>
      </c>
      <c r="X23" s="10">
        <v>582.49836109600005</v>
      </c>
    </row>
    <row r="24" spans="1:26" ht="15" thickBot="1" x14ac:dyDescent="0.4">
      <c r="A24" s="316"/>
      <c r="B24" s="33" t="s">
        <v>29</v>
      </c>
      <c r="C24" s="14" t="s">
        <v>10</v>
      </c>
      <c r="D24" s="15">
        <v>50.726245590000005</v>
      </c>
      <c r="E24" s="15">
        <v>51.555871689999996</v>
      </c>
      <c r="F24" s="15">
        <v>52.092338009999999</v>
      </c>
      <c r="G24" s="15">
        <v>52.679418640000002</v>
      </c>
      <c r="H24" s="15">
        <v>53.415303170000001</v>
      </c>
      <c r="I24" s="15">
        <v>54.142541159999993</v>
      </c>
      <c r="J24" s="15">
        <v>54.095794329999997</v>
      </c>
      <c r="K24" s="15">
        <v>55.025108469999999</v>
      </c>
      <c r="L24" s="15">
        <v>56.379325789999996</v>
      </c>
      <c r="M24" s="15">
        <v>58.276093729999999</v>
      </c>
      <c r="N24" s="15">
        <v>60.030024640000001</v>
      </c>
      <c r="O24" s="15">
        <v>61.697667020000004</v>
      </c>
      <c r="P24" s="15">
        <v>63.543651259999997</v>
      </c>
      <c r="Q24" s="15">
        <v>65.526075559999995</v>
      </c>
      <c r="R24" s="15">
        <v>66.936955569999995</v>
      </c>
      <c r="S24" s="15">
        <v>69.965965400000002</v>
      </c>
      <c r="T24" s="15">
        <v>71.508047200000007</v>
      </c>
      <c r="U24" s="15">
        <v>74.537039409999991</v>
      </c>
      <c r="V24" s="15">
        <v>77.320166439999994</v>
      </c>
      <c r="W24" s="15">
        <v>79.298771209999998</v>
      </c>
      <c r="X24" s="15">
        <v>81.869317190000004</v>
      </c>
    </row>
    <row r="25" spans="1:26" ht="15" thickBot="1" x14ac:dyDescent="0.4">
      <c r="A25" s="310" t="s">
        <v>30</v>
      </c>
      <c r="B25" s="16" t="s">
        <v>31</v>
      </c>
      <c r="C25" s="17" t="s">
        <v>32</v>
      </c>
      <c r="D25" s="18">
        <v>9052.8441084050537</v>
      </c>
      <c r="E25" s="18">
        <v>9171.9273117886114</v>
      </c>
      <c r="F25" s="18">
        <v>10472.882598545473</v>
      </c>
      <c r="G25" s="18">
        <v>9937.0873706095808</v>
      </c>
      <c r="H25" s="18">
        <v>9619.4772524608888</v>
      </c>
      <c r="I25" s="18">
        <v>9178.3659562678695</v>
      </c>
      <c r="J25" s="18">
        <v>10024.948550755016</v>
      </c>
      <c r="K25" s="18">
        <v>11835.252519246962</v>
      </c>
      <c r="L25" s="18">
        <v>14686.710467070612</v>
      </c>
      <c r="M25" s="18">
        <v>16445.720935966816</v>
      </c>
      <c r="N25" s="18">
        <v>19650.714691848891</v>
      </c>
      <c r="O25" s="18">
        <v>25666.356544617964</v>
      </c>
      <c r="P25" s="18">
        <v>34701.534903066298</v>
      </c>
      <c r="Q25" s="18">
        <v>46454.137824173791</v>
      </c>
      <c r="R25" s="18">
        <v>51905.079401325042</v>
      </c>
      <c r="S25" s="18">
        <v>59604.690808323372</v>
      </c>
      <c r="T25" s="18">
        <v>61162.803038967199</v>
      </c>
      <c r="U25" s="18">
        <v>62278.469994203137</v>
      </c>
      <c r="V25" s="18">
        <v>67260.472817618385</v>
      </c>
      <c r="W25" s="18">
        <v>74207.514981640357</v>
      </c>
      <c r="X25" s="19">
        <v>74847.366593530067</v>
      </c>
    </row>
    <row r="26" spans="1:26" ht="15" thickBot="1" x14ac:dyDescent="0.4">
      <c r="A26" s="311"/>
      <c r="B26" s="43" t="s">
        <v>33</v>
      </c>
      <c r="C26" s="17" t="s">
        <v>32</v>
      </c>
      <c r="D26" s="34">
        <v>74847.366593530067</v>
      </c>
      <c r="E26" s="34"/>
      <c r="F26" s="34"/>
      <c r="G26" s="34"/>
      <c r="H26" s="34"/>
      <c r="I26" s="34"/>
      <c r="J26" s="34"/>
      <c r="K26" s="34"/>
      <c r="L26" s="34"/>
      <c r="M26" s="34"/>
      <c r="N26" s="34"/>
      <c r="O26" s="34"/>
      <c r="P26" s="34"/>
      <c r="Q26" s="34"/>
      <c r="R26" s="34"/>
      <c r="S26" s="34"/>
      <c r="T26" s="34"/>
      <c r="U26" s="34"/>
      <c r="V26" s="34"/>
      <c r="W26" s="34"/>
      <c r="X26" s="35"/>
      <c r="Z26" s="36"/>
    </row>
    <row r="27" spans="1:26" x14ac:dyDescent="0.35">
      <c r="A27" s="311"/>
      <c r="B27" s="43" t="s">
        <v>34</v>
      </c>
      <c r="C27" s="17" t="s">
        <v>32</v>
      </c>
      <c r="D27" s="10">
        <f>N25</f>
        <v>19650.714691848891</v>
      </c>
      <c r="E27" s="50"/>
      <c r="F27" s="50"/>
      <c r="G27" s="50"/>
      <c r="H27" s="50"/>
      <c r="I27" s="50"/>
      <c r="J27" s="50"/>
      <c r="K27" s="50"/>
      <c r="L27" s="50"/>
      <c r="M27" s="50"/>
      <c r="N27" s="50"/>
      <c r="O27" s="50"/>
      <c r="P27" s="50"/>
      <c r="Q27" s="50"/>
      <c r="R27" s="50"/>
      <c r="S27" s="50"/>
      <c r="T27" s="50"/>
      <c r="U27" s="50"/>
      <c r="V27" s="50"/>
      <c r="W27" s="50"/>
      <c r="X27" s="11"/>
      <c r="Z27" s="36"/>
    </row>
    <row r="28" spans="1:26" ht="15" thickBot="1" x14ac:dyDescent="0.4">
      <c r="A28" s="312"/>
      <c r="B28" s="226"/>
      <c r="C28" s="20"/>
      <c r="D28" s="37"/>
      <c r="E28" s="37"/>
      <c r="F28" s="37"/>
      <c r="G28" s="37"/>
      <c r="H28" s="37"/>
      <c r="I28" s="37"/>
      <c r="J28" s="37"/>
      <c r="K28" s="37"/>
      <c r="L28" s="37"/>
      <c r="M28" s="37"/>
      <c r="N28" s="37"/>
      <c r="O28" s="37"/>
      <c r="P28" s="37"/>
      <c r="Q28" s="37"/>
      <c r="R28" s="37"/>
      <c r="S28" s="37"/>
      <c r="T28" s="37"/>
      <c r="U28" s="37"/>
      <c r="V28" s="37"/>
      <c r="W28" s="37"/>
      <c r="X28" s="38"/>
    </row>
    <row r="29" spans="1:26" ht="15" thickBot="1" x14ac:dyDescent="0.4">
      <c r="A29" s="317" t="s">
        <v>35</v>
      </c>
      <c r="B29" s="39" t="s">
        <v>36</v>
      </c>
      <c r="C29" s="17" t="s">
        <v>37</v>
      </c>
      <c r="D29" s="40">
        <v>0.37315398812196321</v>
      </c>
      <c r="E29" s="40">
        <v>0.3882404414710075</v>
      </c>
      <c r="F29" s="40">
        <v>0.40393683356356724</v>
      </c>
      <c r="G29" s="40">
        <v>0.42026782395760703</v>
      </c>
      <c r="H29" s="40">
        <v>0.43725906918628854</v>
      </c>
      <c r="I29" s="40">
        <v>0.4549372630652439</v>
      </c>
      <c r="J29" s="40">
        <v>0.47333017862945442</v>
      </c>
      <c r="K29" s="40">
        <v>0.4924667117656194</v>
      </c>
      <c r="L29" s="40">
        <v>0.51237692660856227</v>
      </c>
      <c r="M29" s="40">
        <v>0.53309210277299401</v>
      </c>
      <c r="N29" s="40">
        <v>0.55464478449483601</v>
      </c>
      <c r="O29" s="40">
        <v>0.57706883175930512</v>
      </c>
      <c r="P29" s="40">
        <v>0.60039947349608525</v>
      </c>
      <c r="Q29" s="40">
        <v>0.62467336292515629</v>
      </c>
      <c r="R29" s="40">
        <v>0.64992863514023114</v>
      </c>
      <c r="S29" s="40">
        <v>0.67620496702026556</v>
      </c>
      <c r="T29" s="40">
        <v>0.70354363956316479</v>
      </c>
      <c r="U29" s="40">
        <v>0.73198760273961461</v>
      </c>
      <c r="V29" s="40">
        <v>0.76158154296892444</v>
      </c>
      <c r="W29" s="40">
        <v>0.79237195332288946</v>
      </c>
      <c r="X29" s="41">
        <v>0.82024950392627405</v>
      </c>
    </row>
    <row r="30" spans="1:26" x14ac:dyDescent="0.35">
      <c r="A30" s="318"/>
      <c r="B30" t="s">
        <v>38</v>
      </c>
      <c r="C30" s="9" t="s">
        <v>37</v>
      </c>
      <c r="D30" s="40">
        <v>0.55464478449483601</v>
      </c>
      <c r="E30" s="50"/>
      <c r="F30" s="50"/>
      <c r="G30" s="50"/>
      <c r="H30" s="50"/>
      <c r="I30" s="50"/>
      <c r="J30" s="50"/>
      <c r="K30" s="50"/>
      <c r="L30" s="50"/>
      <c r="M30" s="50"/>
      <c r="N30" s="50"/>
      <c r="O30" s="50"/>
      <c r="P30" s="50"/>
      <c r="Q30" s="50"/>
      <c r="R30" s="50"/>
      <c r="S30" s="50"/>
      <c r="T30" s="50"/>
      <c r="U30" s="50"/>
      <c r="V30" s="50"/>
      <c r="W30" s="50"/>
      <c r="X30" s="42"/>
    </row>
    <row r="31" spans="1:26" x14ac:dyDescent="0.35">
      <c r="A31" s="318"/>
      <c r="B31" s="43" t="s">
        <v>39</v>
      </c>
      <c r="C31" s="9" t="s">
        <v>37</v>
      </c>
      <c r="D31" s="50">
        <v>3.2520551145224917E-2</v>
      </c>
      <c r="E31" s="50">
        <v>3.7030040661937866E-2</v>
      </c>
      <c r="F31" s="50">
        <v>4.2164842326976142E-2</v>
      </c>
      <c r="G31" s="50">
        <v>4.8011665574166792E-2</v>
      </c>
      <c r="H31" s="50">
        <v>5.4669243473747492E-2</v>
      </c>
      <c r="I31" s="50">
        <v>6.225E-2</v>
      </c>
      <c r="J31" s="50">
        <v>6.8500000000000005E-2</v>
      </c>
      <c r="K31" s="50">
        <v>7.5600000000000001E-2</v>
      </c>
      <c r="L31" s="50">
        <v>8.4900000000000003E-2</v>
      </c>
      <c r="M31" s="50">
        <v>9.5599999999999991E-2</v>
      </c>
      <c r="N31" s="50">
        <v>0.10940000000000001</v>
      </c>
      <c r="O31" s="50">
        <v>0.12459999999999999</v>
      </c>
      <c r="P31" s="50">
        <v>0.1454</v>
      </c>
      <c r="Q31" s="50">
        <v>0.17069999999999999</v>
      </c>
      <c r="R31" s="50">
        <v>0.2036</v>
      </c>
      <c r="S31" s="50">
        <v>0.24230000000000002</v>
      </c>
      <c r="T31" s="50">
        <v>0.2863</v>
      </c>
      <c r="U31" s="50">
        <v>0.33080000000000004</v>
      </c>
      <c r="V31" s="50">
        <v>0.37569999999999998</v>
      </c>
      <c r="W31" s="50">
        <v>0.41</v>
      </c>
      <c r="X31" s="42">
        <v>0.45645999999999998</v>
      </c>
    </row>
    <row r="32" spans="1:26" x14ac:dyDescent="0.35">
      <c r="A32" s="318"/>
      <c r="B32" t="s">
        <v>40</v>
      </c>
      <c r="C32" s="9" t="s">
        <v>37</v>
      </c>
      <c r="D32" s="50">
        <v>0.10940000000000001</v>
      </c>
      <c r="E32" s="50"/>
      <c r="F32" s="50"/>
      <c r="G32" s="50"/>
      <c r="H32" s="50"/>
      <c r="I32" s="50"/>
      <c r="J32" s="50"/>
      <c r="K32" s="50"/>
      <c r="L32" s="50"/>
      <c r="M32" s="50"/>
      <c r="N32" s="50"/>
      <c r="O32" s="50"/>
      <c r="P32" s="50"/>
      <c r="Q32" s="50"/>
      <c r="R32" s="50"/>
      <c r="S32" s="50"/>
      <c r="T32" s="50"/>
      <c r="U32" s="50"/>
      <c r="V32" s="50"/>
      <c r="W32" s="50"/>
      <c r="X32" s="42"/>
    </row>
    <row r="33" spans="1:28" x14ac:dyDescent="0.35">
      <c r="A33" s="318"/>
      <c r="B33" s="43" t="s">
        <v>41</v>
      </c>
      <c r="C33" s="9" t="s">
        <v>37</v>
      </c>
      <c r="D33" s="10">
        <v>1.7180511106909199E-2</v>
      </c>
      <c r="E33" s="10">
        <v>1.8503410462141209E-2</v>
      </c>
      <c r="F33" s="10">
        <v>1.9928173067726079E-2</v>
      </c>
      <c r="G33" s="10">
        <v>2.1462642393940985E-2</v>
      </c>
      <c r="H33" s="10">
        <v>2.3115265858274441E-2</v>
      </c>
      <c r="I33" s="10">
        <v>2.4895141329361572E-2</v>
      </c>
      <c r="J33" s="10">
        <v>2.6812067211722412E-2</v>
      </c>
      <c r="K33" s="10">
        <v>2.8876596387025034E-2</v>
      </c>
      <c r="L33" s="10">
        <v>3.1100094308825963E-2</v>
      </c>
      <c r="M33" s="10">
        <v>3.349480157060556E-2</v>
      </c>
      <c r="N33" s="10">
        <v>3.6073901291542185E-2</v>
      </c>
      <c r="O33" s="10">
        <v>3.8851591690990929E-2</v>
      </c>
      <c r="P33" s="10">
        <v>4.1843164251197232E-2</v>
      </c>
      <c r="Q33" s="10">
        <v>4.506508789853942E-2</v>
      </c>
      <c r="R33" s="10">
        <v>4.853509966672695E-2</v>
      </c>
      <c r="S33" s="10">
        <v>5.2272302341064919E-2</v>
      </c>
      <c r="T33" s="10">
        <v>5.6297269621326917E-2</v>
      </c>
      <c r="U33" s="10">
        <v>6.0632159382169086E-2</v>
      </c>
      <c r="V33" s="10">
        <v>6.5300835654596101E-2</v>
      </c>
      <c r="W33" s="10">
        <v>7.0328999999999989E-2</v>
      </c>
      <c r="X33" s="11">
        <v>7.4501401805173201E-2</v>
      </c>
    </row>
    <row r="34" spans="1:28" ht="15" thickBot="1" x14ac:dyDescent="0.4">
      <c r="A34" s="319"/>
      <c r="B34" s="44" t="s">
        <v>42</v>
      </c>
      <c r="C34" s="20" t="s">
        <v>37</v>
      </c>
      <c r="D34" s="10">
        <v>3.6073901291542185E-2</v>
      </c>
      <c r="E34" s="21"/>
      <c r="F34" s="21"/>
      <c r="G34" s="21"/>
      <c r="H34" s="21"/>
      <c r="I34" s="21"/>
      <c r="J34" s="21"/>
      <c r="K34" s="21"/>
      <c r="L34" s="21"/>
      <c r="M34" s="21"/>
      <c r="N34" s="21"/>
      <c r="O34" s="21"/>
      <c r="P34" s="21"/>
      <c r="Q34" s="21"/>
      <c r="R34" s="21"/>
      <c r="S34" s="21"/>
      <c r="T34" s="21"/>
      <c r="U34" s="21"/>
      <c r="V34" s="21"/>
      <c r="W34" s="21"/>
      <c r="X34" s="22"/>
    </row>
    <row r="35" spans="1:28" ht="15" thickBot="1" x14ac:dyDescent="0.4">
      <c r="A35" s="317" t="s">
        <v>43</v>
      </c>
      <c r="B35" s="39" t="s">
        <v>44</v>
      </c>
      <c r="C35" s="17" t="s">
        <v>37</v>
      </c>
      <c r="D35" s="40">
        <v>1.167364283024201E-2</v>
      </c>
      <c r="E35" s="40">
        <v>1.4963216653269409E-2</v>
      </c>
      <c r="F35" s="40">
        <v>1.4075786414101827E-2</v>
      </c>
      <c r="G35" s="40">
        <v>1.4111998996576254E-2</v>
      </c>
      <c r="H35" s="40">
        <v>1.3306506859960276E-2</v>
      </c>
      <c r="I35" s="40">
        <v>1.325437596189726E-2</v>
      </c>
      <c r="J35" s="40">
        <v>1.4136859473511416E-2</v>
      </c>
      <c r="K35" s="40">
        <v>1.4877727054012784E-2</v>
      </c>
      <c r="L35" s="40">
        <v>1.6775811784095436E-2</v>
      </c>
      <c r="M35" s="40">
        <v>1.7262303413099544E-2</v>
      </c>
      <c r="N35" s="40">
        <v>1.8064687990098631E-2</v>
      </c>
      <c r="O35" s="40">
        <v>1.981614664193105E-2</v>
      </c>
      <c r="P35" s="40">
        <v>2.0802194334247032E-2</v>
      </c>
      <c r="Q35" s="40">
        <v>2.1475583477352969E-2</v>
      </c>
      <c r="R35" s="40">
        <v>2.2805745832552054E-2</v>
      </c>
      <c r="S35" s="40">
        <v>2.7088850858809591E-2</v>
      </c>
      <c r="T35" s="40">
        <v>2.62413115379895E-2</v>
      </c>
      <c r="U35" s="40">
        <v>2.9897640815394526E-2</v>
      </c>
      <c r="V35" s="40">
        <v>3.0840372931826027E-2</v>
      </c>
      <c r="W35" s="40">
        <v>3.108885086200959E-2</v>
      </c>
      <c r="X35" s="41">
        <v>3.2811123821276801E-2</v>
      </c>
    </row>
    <row r="36" spans="1:28" x14ac:dyDescent="0.35">
      <c r="A36" s="318"/>
      <c r="B36" t="s">
        <v>45</v>
      </c>
      <c r="C36" s="9" t="s">
        <v>37</v>
      </c>
      <c r="D36" s="40">
        <v>1.8064687990098631E-2</v>
      </c>
      <c r="E36" s="50"/>
      <c r="F36" s="50"/>
      <c r="G36" s="50"/>
      <c r="H36" s="50"/>
      <c r="I36" s="50"/>
      <c r="J36" s="50"/>
      <c r="K36" s="50"/>
      <c r="L36" s="50"/>
      <c r="M36" s="50"/>
      <c r="N36" s="50"/>
      <c r="O36" s="50"/>
      <c r="P36" s="50"/>
      <c r="Q36" s="50"/>
      <c r="R36" s="50"/>
      <c r="S36" s="50"/>
      <c r="T36" s="50"/>
      <c r="U36" s="50"/>
      <c r="V36" s="50"/>
      <c r="W36" s="50"/>
      <c r="X36" s="42"/>
    </row>
    <row r="37" spans="1:28" x14ac:dyDescent="0.35">
      <c r="A37" s="318"/>
      <c r="B37" s="43" t="s">
        <v>46</v>
      </c>
      <c r="C37" s="9" t="s">
        <v>37</v>
      </c>
      <c r="D37" s="10">
        <v>2.0303326826418786E-6</v>
      </c>
      <c r="E37" s="10">
        <v>2.0303326826418786E-6</v>
      </c>
      <c r="F37" s="10">
        <v>6.4293868283659495E-6</v>
      </c>
      <c r="G37" s="10">
        <v>5.4142204870450089E-6</v>
      </c>
      <c r="H37" s="10">
        <v>7.782941950127201E-6</v>
      </c>
      <c r="I37" s="237">
        <v>8.1213307305675146E-6</v>
      </c>
      <c r="J37" s="237">
        <v>9.1364970718884535E-6</v>
      </c>
      <c r="K37" s="237">
        <v>1.2520384876291584E-5</v>
      </c>
      <c r="L37" s="237">
        <v>1.7257827802455968E-5</v>
      </c>
      <c r="M37" s="237">
        <v>1.7257827802455968E-5</v>
      </c>
      <c r="N37" s="237">
        <v>1.8611382924217222E-5</v>
      </c>
      <c r="O37" s="237">
        <v>1.6581050241575341E-5</v>
      </c>
      <c r="P37" s="237">
        <v>2.0980104387299415E-5</v>
      </c>
      <c r="Q37" s="237">
        <v>2.3348825850381605E-5</v>
      </c>
      <c r="R37" s="237">
        <v>4.7036040481203515E-5</v>
      </c>
      <c r="S37" s="237">
        <v>6.4970645844540116E-5</v>
      </c>
      <c r="T37" s="237">
        <v>9.3395303401526419E-5</v>
      </c>
      <c r="U37" s="237">
        <v>1.4246167656537182E-4</v>
      </c>
      <c r="V37" s="237">
        <v>1.8137638631600782E-4</v>
      </c>
      <c r="W37" s="237">
        <v>2.4939253118451079E-4</v>
      </c>
      <c r="X37" s="46">
        <v>2.8336676474071797E-4</v>
      </c>
      <c r="Y37" s="141"/>
      <c r="Z37" s="141"/>
      <c r="AA37" s="141"/>
      <c r="AB37" s="141"/>
    </row>
    <row r="38" spans="1:28" x14ac:dyDescent="0.35">
      <c r="A38" s="318"/>
      <c r="B38" t="s">
        <v>47</v>
      </c>
      <c r="C38" s="9" t="s">
        <v>37</v>
      </c>
      <c r="D38" s="237">
        <v>1.8611382924217222E-5</v>
      </c>
      <c r="E38" s="10"/>
      <c r="F38" s="10"/>
      <c r="G38" s="10"/>
      <c r="H38" s="10"/>
      <c r="I38" s="237"/>
      <c r="J38" s="237"/>
      <c r="K38" s="237"/>
      <c r="L38" s="237"/>
      <c r="M38" s="237"/>
      <c r="N38" s="237"/>
      <c r="O38" s="237"/>
      <c r="P38" s="237"/>
      <c r="Q38" s="237"/>
      <c r="R38" s="237"/>
      <c r="S38" s="237"/>
      <c r="T38" s="237"/>
      <c r="U38" s="237"/>
      <c r="V38" s="237"/>
      <c r="W38" s="237"/>
      <c r="X38" s="46"/>
      <c r="Y38" s="141"/>
      <c r="Z38" s="141"/>
      <c r="AA38" s="141"/>
      <c r="AB38" s="141"/>
    </row>
    <row r="39" spans="1:28" x14ac:dyDescent="0.35">
      <c r="A39" s="318"/>
      <c r="B39" s="43" t="s">
        <v>48</v>
      </c>
      <c r="C39" s="9" t="s">
        <v>37</v>
      </c>
      <c r="D39" s="10">
        <v>1.9992724712776778E-3</v>
      </c>
      <c r="E39" s="10">
        <v>1.9333400358171797E-3</v>
      </c>
      <c r="F39" s="10">
        <v>1.9575112734996122E-3</v>
      </c>
      <c r="G39" s="10">
        <v>1.9656481257887483E-3</v>
      </c>
      <c r="H39" s="10">
        <v>2.0795640578366507E-3</v>
      </c>
      <c r="I39" s="10">
        <v>2.1914457768122688E-3</v>
      </c>
      <c r="J39" s="10">
        <v>2.2711390654088053E-3</v>
      </c>
      <c r="K39" s="10">
        <v>2.3363535433143798E-3</v>
      </c>
      <c r="L39" s="10">
        <v>2.3091908158197642E-3</v>
      </c>
      <c r="M39" s="10">
        <v>2.3607641001817869E-3</v>
      </c>
      <c r="N39" s="10">
        <v>2.8492145567149138E-3</v>
      </c>
      <c r="O39" s="10">
        <v>2.8532829828594821E-3</v>
      </c>
      <c r="P39" s="10">
        <v>2.9447029115197729E-3</v>
      </c>
      <c r="Q39" s="10">
        <v>3.0486870973912301E-3</v>
      </c>
      <c r="R39" s="10">
        <v>3.0231996041914363E-3</v>
      </c>
      <c r="S39" s="10">
        <v>3.1245512790281731E-3</v>
      </c>
      <c r="T39" s="10">
        <v>3.072140377518739E-3</v>
      </c>
      <c r="U39" s="10">
        <v>3.306194540423882E-3</v>
      </c>
      <c r="V39" s="10">
        <v>3.4202301320642721E-3</v>
      </c>
      <c r="W39" s="10">
        <v>3.5817705819221166E-3</v>
      </c>
      <c r="X39" s="11">
        <v>3.6797358902914599E-3</v>
      </c>
      <c r="Y39" s="141"/>
      <c r="Z39" s="141"/>
      <c r="AA39" s="141"/>
      <c r="AB39" s="141"/>
    </row>
    <row r="40" spans="1:28" ht="15" thickBot="1" x14ac:dyDescent="0.4">
      <c r="A40" s="319"/>
      <c r="B40" s="44" t="s">
        <v>49</v>
      </c>
      <c r="C40" s="20" t="s">
        <v>37</v>
      </c>
      <c r="D40" s="10">
        <v>2.8492145567149138E-3</v>
      </c>
      <c r="E40" s="21"/>
      <c r="F40" s="21"/>
      <c r="G40" s="21"/>
      <c r="H40" s="21"/>
      <c r="I40" s="21"/>
      <c r="J40" s="21"/>
      <c r="K40" s="21"/>
      <c r="L40" s="21"/>
      <c r="M40" s="21"/>
      <c r="N40" s="21"/>
      <c r="O40" s="21"/>
      <c r="P40" s="21"/>
      <c r="Q40" s="21"/>
      <c r="R40" s="21"/>
      <c r="S40" s="21"/>
      <c r="T40" s="21"/>
      <c r="U40" s="21"/>
      <c r="V40" s="21"/>
      <c r="W40" s="21"/>
      <c r="X40" s="22"/>
      <c r="Y40" s="141"/>
      <c r="Z40" s="141"/>
      <c r="AA40" s="141"/>
      <c r="AB40" s="141"/>
    </row>
    <row r="41" spans="1:28" ht="15" thickBot="1" x14ac:dyDescent="0.4">
      <c r="A41" s="317" t="s">
        <v>50</v>
      </c>
      <c r="B41" s="16" t="s">
        <v>51</v>
      </c>
      <c r="C41" s="17" t="s">
        <v>52</v>
      </c>
      <c r="D41" s="18">
        <v>2331.951</v>
      </c>
      <c r="E41" s="18">
        <v>2417.1930000000002</v>
      </c>
      <c r="F41" s="18">
        <v>2393.1010000000001</v>
      </c>
      <c r="G41" s="18">
        <v>2445.21</v>
      </c>
      <c r="H41" s="18">
        <v>2531.1480000000001</v>
      </c>
      <c r="I41" s="18">
        <v>2590.623</v>
      </c>
      <c r="J41" s="18">
        <v>2637.6849999999999</v>
      </c>
      <c r="K41" s="18">
        <v>2660.7779999999998</v>
      </c>
      <c r="L41" s="18">
        <v>2635.3490000000002</v>
      </c>
      <c r="M41" s="18">
        <v>2738.0120000000002</v>
      </c>
      <c r="N41" s="18">
        <v>2767.9520000000002</v>
      </c>
      <c r="O41" s="18">
        <v>2791.471</v>
      </c>
      <c r="P41" s="18">
        <v>2719.2289999999998</v>
      </c>
      <c r="Q41" s="18">
        <v>2733.085</v>
      </c>
      <c r="R41" s="18">
        <v>2696.18</v>
      </c>
      <c r="S41" s="18">
        <v>2756.288</v>
      </c>
      <c r="T41" s="18">
        <v>2582.6350000000002</v>
      </c>
      <c r="U41" s="18">
        <v>2460.2849999999999</v>
      </c>
      <c r="V41" s="18">
        <v>2479.1060000000002</v>
      </c>
      <c r="W41" s="18">
        <v>2535.6419999999998</v>
      </c>
      <c r="X41" s="19">
        <v>2571.3649999999998</v>
      </c>
      <c r="Y41" s="141"/>
      <c r="Z41" s="141"/>
      <c r="AA41" s="141"/>
      <c r="AB41" s="141"/>
    </row>
    <row r="42" spans="1:28" x14ac:dyDescent="0.35">
      <c r="A42" s="318"/>
      <c r="B42" t="s">
        <v>53</v>
      </c>
      <c r="C42" s="9" t="s">
        <v>52</v>
      </c>
      <c r="D42" s="18">
        <v>2767.9520000000002</v>
      </c>
      <c r="E42" s="10"/>
      <c r="F42" s="10"/>
      <c r="G42" s="10"/>
      <c r="H42" s="10"/>
      <c r="I42" s="10"/>
      <c r="J42" s="10"/>
      <c r="K42" s="10"/>
      <c r="L42" s="10"/>
      <c r="M42" s="10"/>
      <c r="N42" s="10"/>
      <c r="O42" s="10"/>
      <c r="P42" s="10"/>
      <c r="Q42" s="10"/>
      <c r="R42" s="10"/>
      <c r="S42" s="10"/>
      <c r="T42" s="10"/>
      <c r="U42" s="10"/>
      <c r="V42" s="10"/>
      <c r="W42" s="10"/>
      <c r="X42" s="11"/>
      <c r="Y42" s="141"/>
      <c r="Z42" s="141"/>
      <c r="AA42" s="141"/>
      <c r="AB42" s="141"/>
    </row>
    <row r="43" spans="1:28" x14ac:dyDescent="0.35">
      <c r="A43" s="318"/>
      <c r="B43" s="43" t="s">
        <v>54</v>
      </c>
      <c r="C43" s="9" t="s">
        <v>55</v>
      </c>
      <c r="D43" s="10">
        <v>37.813000000000002</v>
      </c>
      <c r="E43" s="10">
        <v>38.008000000000003</v>
      </c>
      <c r="F43" s="10">
        <v>38.707999999999998</v>
      </c>
      <c r="G43" s="10">
        <v>38.843000000000004</v>
      </c>
      <c r="H43" s="10">
        <v>39.840000000000003</v>
      </c>
      <c r="I43" s="10">
        <v>39.902999999999999</v>
      </c>
      <c r="J43" s="10">
        <v>39.938000000000002</v>
      </c>
      <c r="K43" s="10">
        <v>40.540999999999997</v>
      </c>
      <c r="L43" s="10">
        <v>41.534999999999997</v>
      </c>
      <c r="M43" s="10">
        <v>41.945999999999998</v>
      </c>
      <c r="N43" s="10">
        <v>42.082000000000001</v>
      </c>
      <c r="O43" s="10">
        <v>42.186999999999998</v>
      </c>
      <c r="P43" s="10">
        <v>42.884999999999998</v>
      </c>
      <c r="Q43" s="10">
        <v>43.195999999999998</v>
      </c>
      <c r="R43" s="10">
        <v>43.381999999999998</v>
      </c>
      <c r="S43" s="10">
        <v>43.393000000000001</v>
      </c>
      <c r="T43" s="10">
        <v>43.951000000000001</v>
      </c>
      <c r="U43" s="10">
        <v>43.854999999999997</v>
      </c>
      <c r="V43" s="10">
        <v>44.466000000000001</v>
      </c>
      <c r="W43" s="10">
        <v>44.268000000000001</v>
      </c>
      <c r="X43" s="11">
        <v>44.6661</v>
      </c>
      <c r="Y43" s="141"/>
      <c r="Z43" s="141"/>
      <c r="AA43" s="141"/>
      <c r="AB43" s="141"/>
    </row>
    <row r="44" spans="1:28" x14ac:dyDescent="0.35">
      <c r="A44" s="318"/>
      <c r="B44" t="s">
        <v>56</v>
      </c>
      <c r="C44" s="9" t="s">
        <v>55</v>
      </c>
      <c r="D44" s="10">
        <v>42.082000000000001</v>
      </c>
      <c r="E44" s="10"/>
      <c r="F44" s="10"/>
      <c r="G44" s="10"/>
      <c r="H44" s="10"/>
      <c r="I44" s="10"/>
      <c r="J44" s="10"/>
      <c r="K44" s="10"/>
      <c r="L44" s="10"/>
      <c r="M44" s="10"/>
      <c r="N44" s="10"/>
      <c r="O44" s="10"/>
      <c r="P44" s="10"/>
      <c r="Q44" s="10"/>
      <c r="R44" s="10"/>
      <c r="S44" s="10"/>
      <c r="T44" s="10"/>
      <c r="U44" s="10"/>
      <c r="V44" s="10"/>
      <c r="W44" s="10"/>
      <c r="X44" s="11"/>
      <c r="Y44" s="141"/>
      <c r="Z44" s="141"/>
      <c r="AA44" s="141"/>
      <c r="AB44" s="141"/>
    </row>
    <row r="45" spans="1:28" x14ac:dyDescent="0.35">
      <c r="A45" s="318"/>
      <c r="B45" s="43" t="s">
        <v>57</v>
      </c>
      <c r="C45" s="9" t="s">
        <v>58</v>
      </c>
      <c r="D45" s="10">
        <v>11486</v>
      </c>
      <c r="E45" s="10">
        <v>11817</v>
      </c>
      <c r="F45" s="10">
        <v>12132</v>
      </c>
      <c r="G45" s="10">
        <v>12443</v>
      </c>
      <c r="H45" s="10">
        <v>12707</v>
      </c>
      <c r="I45" s="10">
        <v>13246</v>
      </c>
      <c r="J45" s="10">
        <v>13506</v>
      </c>
      <c r="K45" s="10">
        <v>13950</v>
      </c>
      <c r="L45" s="10">
        <v>14472</v>
      </c>
      <c r="M45" s="10">
        <v>15136</v>
      </c>
      <c r="N45" s="10">
        <v>15717.721862300001</v>
      </c>
      <c r="O45" s="10">
        <v>16402.931668000001</v>
      </c>
      <c r="P45" s="10">
        <v>17186.670522299999</v>
      </c>
      <c r="Q45" s="10">
        <v>17452.342337900001</v>
      </c>
      <c r="R45" s="10">
        <v>17396.8323423</v>
      </c>
      <c r="S45" s="10">
        <v>18645.439964100002</v>
      </c>
      <c r="T45" s="10">
        <v>19332.7421049</v>
      </c>
      <c r="U45" s="10">
        <v>19696.372044200001</v>
      </c>
      <c r="V45" s="10">
        <v>20314.169914999999</v>
      </c>
      <c r="W45" s="10">
        <v>20715.762224999999</v>
      </c>
      <c r="X45" s="11">
        <v>21277.51895021</v>
      </c>
      <c r="Y45" s="141"/>
      <c r="Z45" s="141"/>
      <c r="AA45" s="141"/>
      <c r="AB45" s="141"/>
    </row>
    <row r="46" spans="1:28" x14ac:dyDescent="0.35">
      <c r="A46" s="318"/>
      <c r="B46" s="43" t="s">
        <v>59</v>
      </c>
      <c r="C46" s="9" t="s">
        <v>4</v>
      </c>
      <c r="D46" s="10">
        <v>0.64000784030457258</v>
      </c>
      <c r="E46" s="10">
        <v>0.62549460956593605</v>
      </c>
      <c r="F46" s="10">
        <v>0.63301193696135905</v>
      </c>
      <c r="G46" s="10">
        <v>0.64869229237508808</v>
      </c>
      <c r="H46" s="10">
        <v>0.64692764622107068</v>
      </c>
      <c r="I46" s="10">
        <v>0.61380977372090084</v>
      </c>
      <c r="J46" s="10">
        <v>0.60610921413878205</v>
      </c>
      <c r="K46" s="10">
        <v>0.59861752426344217</v>
      </c>
      <c r="L46" s="10">
        <v>0.59528139159619797</v>
      </c>
      <c r="M46" s="10">
        <v>0.58658626148270199</v>
      </c>
      <c r="N46" s="10">
        <v>0.5447112921280477</v>
      </c>
      <c r="O46" s="10">
        <v>0.52717673519315</v>
      </c>
      <c r="P46" s="10">
        <v>0.50322019827902753</v>
      </c>
      <c r="Q46" s="10">
        <v>0.49668145545839515</v>
      </c>
      <c r="R46" s="10">
        <v>0.48668197474167624</v>
      </c>
      <c r="S46" s="10">
        <v>0.47750300962695119</v>
      </c>
      <c r="T46" s="10">
        <v>0.47070644665043565</v>
      </c>
      <c r="U46" s="10">
        <v>0.44995202983813604</v>
      </c>
      <c r="V46" s="10">
        <v>0.39036741840327338</v>
      </c>
      <c r="W46" s="10">
        <v>0.38200350592375598</v>
      </c>
      <c r="X46" s="11">
        <v>0.352705071392445</v>
      </c>
      <c r="Y46" s="141"/>
      <c r="Z46" s="141"/>
      <c r="AA46" s="141"/>
      <c r="AB46" s="141"/>
    </row>
    <row r="47" spans="1:28" x14ac:dyDescent="0.35">
      <c r="A47" s="318"/>
      <c r="B47" s="43" t="s">
        <v>60</v>
      </c>
      <c r="C47" s="9" t="s">
        <v>4</v>
      </c>
      <c r="D47" s="237">
        <v>0.38200350592375598</v>
      </c>
      <c r="E47" s="237"/>
      <c r="F47" s="237"/>
      <c r="G47" s="237"/>
      <c r="H47" s="237"/>
      <c r="I47" s="237"/>
      <c r="J47" s="237"/>
      <c r="K47" s="237"/>
      <c r="L47" s="237"/>
      <c r="M47" s="237"/>
      <c r="N47" s="237"/>
      <c r="O47" s="237"/>
      <c r="P47" s="237"/>
      <c r="Q47" s="237"/>
      <c r="R47" s="237"/>
      <c r="S47" s="237"/>
      <c r="T47" s="237"/>
      <c r="U47" s="237"/>
      <c r="V47" s="237"/>
      <c r="W47" s="237"/>
      <c r="X47" s="46"/>
      <c r="Y47" s="141"/>
      <c r="Z47" s="141"/>
      <c r="AA47" s="141"/>
      <c r="AB47" s="141"/>
    </row>
    <row r="48" spans="1:28" x14ac:dyDescent="0.35">
      <c r="A48" s="318"/>
      <c r="B48" s="43" t="s">
        <v>61</v>
      </c>
      <c r="C48" s="9" t="s">
        <v>4</v>
      </c>
      <c r="D48" s="10">
        <v>0.18497727967085997</v>
      </c>
      <c r="E48" s="10">
        <v>0.17191646447570985</v>
      </c>
      <c r="F48" s="10">
        <v>0.1330532764569175</v>
      </c>
      <c r="G48" s="10">
        <v>0.15161781088000842</v>
      </c>
      <c r="H48" s="10">
        <v>0.13531842227897417</v>
      </c>
      <c r="I48" s="10">
        <v>0.12023891330325187</v>
      </c>
      <c r="J48" s="10">
        <v>0.12010733048107938</v>
      </c>
      <c r="K48" s="10">
        <v>0.10499688074615252</v>
      </c>
      <c r="L48" s="10">
        <v>0.10170168137771297</v>
      </c>
      <c r="M48" s="10">
        <v>8.9097578583166234E-2</v>
      </c>
      <c r="N48" s="10">
        <v>8.2113209242762941E-2</v>
      </c>
      <c r="O48" s="10">
        <v>7.546615577930145E-2</v>
      </c>
      <c r="P48" s="10">
        <v>7.1352379512200179E-2</v>
      </c>
      <c r="Q48" s="10">
        <v>6.937841924029578E-2</v>
      </c>
      <c r="R48" s="10">
        <v>7.2134341126453824E-2</v>
      </c>
      <c r="S48" s="10">
        <v>7.7758019921493809E-2</v>
      </c>
      <c r="T48" s="10">
        <v>6.9023030718483841E-2</v>
      </c>
      <c r="U48" s="10">
        <v>6.4980326622514628E-2</v>
      </c>
      <c r="V48" s="10">
        <v>6.4780781553863923E-2</v>
      </c>
      <c r="W48" s="10">
        <v>6.7529547502664572E-2</v>
      </c>
      <c r="X48" s="11">
        <v>6.1404583063120598E-2</v>
      </c>
      <c r="Y48" s="141"/>
      <c r="Z48" s="141"/>
      <c r="AA48" s="141"/>
      <c r="AB48" s="141"/>
    </row>
    <row r="49" spans="1:28" ht="15" thickBot="1" x14ac:dyDescent="0.4">
      <c r="A49" s="318"/>
      <c r="B49" s="226" t="s">
        <v>62</v>
      </c>
      <c r="C49" s="47" t="s">
        <v>4</v>
      </c>
      <c r="D49" s="21">
        <f t="shared" ref="D49:M49" si="1">E49</f>
        <v>0.61299999999999999</v>
      </c>
      <c r="E49" s="21">
        <f t="shared" si="1"/>
        <v>0.61299999999999999</v>
      </c>
      <c r="F49" s="21">
        <f t="shared" si="1"/>
        <v>0.61299999999999999</v>
      </c>
      <c r="G49" s="21">
        <f t="shared" si="1"/>
        <v>0.61299999999999999</v>
      </c>
      <c r="H49" s="21">
        <f t="shared" si="1"/>
        <v>0.61299999999999999</v>
      </c>
      <c r="I49" s="21">
        <f t="shared" si="1"/>
        <v>0.61299999999999999</v>
      </c>
      <c r="J49" s="21">
        <f t="shared" si="1"/>
        <v>0.61299999999999999</v>
      </c>
      <c r="K49" s="21">
        <f t="shared" si="1"/>
        <v>0.61299999999999999</v>
      </c>
      <c r="L49" s="21">
        <f t="shared" si="1"/>
        <v>0.61299999999999999</v>
      </c>
      <c r="M49" s="21">
        <f t="shared" si="1"/>
        <v>0.61299999999999999</v>
      </c>
      <c r="N49" s="21">
        <v>0.61299999999999999</v>
      </c>
      <c r="O49" s="21">
        <f>N49-0.0334</f>
        <v>0.5796</v>
      </c>
      <c r="P49" s="21">
        <f t="shared" ref="P49:S49" si="2">O49-0.0334</f>
        <v>0.54620000000000002</v>
      </c>
      <c r="Q49" s="21">
        <f t="shared" si="2"/>
        <v>0.51280000000000003</v>
      </c>
      <c r="R49" s="21">
        <f t="shared" si="2"/>
        <v>0.47940000000000005</v>
      </c>
      <c r="S49" s="21">
        <f t="shared" si="2"/>
        <v>0.44600000000000006</v>
      </c>
      <c r="T49" s="21">
        <f>S49+0.014</f>
        <v>0.46000000000000008</v>
      </c>
      <c r="U49" s="21">
        <f t="shared" ref="U49:X49" si="3">T49+0.014</f>
        <v>0.47400000000000009</v>
      </c>
      <c r="V49" s="21">
        <f t="shared" si="3"/>
        <v>0.4880000000000001</v>
      </c>
      <c r="W49" s="21">
        <f t="shared" si="3"/>
        <v>0.50200000000000011</v>
      </c>
      <c r="X49" s="21">
        <f t="shared" si="3"/>
        <v>0.51600000000000013</v>
      </c>
      <c r="Y49" s="141"/>
      <c r="Z49" s="141"/>
      <c r="AA49" s="141"/>
      <c r="AB49" s="141"/>
    </row>
    <row r="50" spans="1:28" x14ac:dyDescent="0.35">
      <c r="A50" s="318"/>
      <c r="B50" s="43" t="s">
        <v>3</v>
      </c>
      <c r="C50" s="9" t="s">
        <v>4</v>
      </c>
      <c r="D50" s="10">
        <v>0.47494035235993737</v>
      </c>
      <c r="E50" s="10">
        <v>0.48784484337985057</v>
      </c>
      <c r="F50" s="237">
        <v>0.48319453732010703</v>
      </c>
      <c r="G50" s="237">
        <v>0.46891386213666458</v>
      </c>
      <c r="H50" s="237">
        <v>0.45504898204107314</v>
      </c>
      <c r="I50" s="10">
        <v>0.47876220805998509</v>
      </c>
      <c r="J50" s="10">
        <v>0.47678696185711361</v>
      </c>
      <c r="K50" s="10">
        <v>0.47874893888354547</v>
      </c>
      <c r="L50" s="10">
        <v>0.47529703503778065</v>
      </c>
      <c r="M50" s="10">
        <v>0.477544401524363</v>
      </c>
      <c r="N50" s="10">
        <v>0.45998380576232423</v>
      </c>
      <c r="O50" s="10">
        <v>0.46592174286451321</v>
      </c>
      <c r="P50" s="10">
        <v>0.46554885319992362</v>
      </c>
      <c r="Q50" s="10">
        <v>0.46823780955770167</v>
      </c>
      <c r="R50" s="10">
        <v>0.46002547010738759</v>
      </c>
      <c r="S50" s="10">
        <v>0.45474576456496724</v>
      </c>
      <c r="T50" s="10">
        <v>0.44887567948184176</v>
      </c>
      <c r="U50" s="10">
        <v>0.44103469213256719</v>
      </c>
      <c r="V50" s="10">
        <v>0.44994734894394395</v>
      </c>
      <c r="W50" s="10">
        <v>0.4547662603919192</v>
      </c>
      <c r="X50" s="10">
        <v>0.45020774743785003</v>
      </c>
      <c r="Y50" s="141"/>
      <c r="Z50" s="141"/>
      <c r="AA50" s="141"/>
      <c r="AB50" s="141"/>
    </row>
    <row r="51" spans="1:28" x14ac:dyDescent="0.35">
      <c r="A51" s="318"/>
      <c r="B51" s="43" t="s">
        <v>5</v>
      </c>
      <c r="C51" s="9" t="s">
        <v>4</v>
      </c>
      <c r="D51" s="10">
        <v>0.54260744461855404</v>
      </c>
      <c r="E51" s="10">
        <v>0.52693131937851889</v>
      </c>
      <c r="F51" s="10">
        <v>0.53825325832004678</v>
      </c>
      <c r="G51" s="10">
        <v>0.52972494786651469</v>
      </c>
      <c r="H51" s="10">
        <v>0.54608275737687884</v>
      </c>
      <c r="I51" s="10">
        <v>0.52240616888030911</v>
      </c>
      <c r="J51" s="10">
        <v>0.54118771997640025</v>
      </c>
      <c r="K51" s="10">
        <v>0.55770700413195928</v>
      </c>
      <c r="L51" s="10">
        <v>0.56234297993535398</v>
      </c>
      <c r="M51" s="10">
        <v>0.56137058257140982</v>
      </c>
      <c r="N51" s="10">
        <v>0.58570403003733484</v>
      </c>
      <c r="O51" s="10">
        <v>0.58900267932487327</v>
      </c>
      <c r="P51" s="10">
        <v>0.5983201717080272</v>
      </c>
      <c r="Q51" s="10">
        <v>0.59006885329059822</v>
      </c>
      <c r="R51" s="10">
        <v>0.58160262630188952</v>
      </c>
      <c r="S51" s="10">
        <v>0.5969505315378193</v>
      </c>
      <c r="T51" s="10">
        <v>0.60592468896184981</v>
      </c>
      <c r="U51" s="10">
        <v>0.61913941594197808</v>
      </c>
      <c r="V51" s="10">
        <v>0.64684157980827484</v>
      </c>
      <c r="W51" s="10">
        <v>0.65189594744849411</v>
      </c>
      <c r="X51" s="10">
        <v>0.66939274954001604</v>
      </c>
      <c r="Y51" s="141"/>
      <c r="Z51" s="141"/>
      <c r="AA51" s="141"/>
      <c r="AB51" s="141"/>
    </row>
    <row r="52" spans="1:28" x14ac:dyDescent="0.35">
      <c r="A52" s="318"/>
      <c r="B52" s="43" t="s">
        <v>6</v>
      </c>
      <c r="C52" s="9" t="s">
        <v>4</v>
      </c>
      <c r="D52" s="13">
        <v>0.35876327289765275</v>
      </c>
      <c r="E52" s="13">
        <v>0.35519166497703214</v>
      </c>
      <c r="F52" s="13">
        <v>0.35566421261455511</v>
      </c>
      <c r="G52" s="13">
        <v>0.36169414628094781</v>
      </c>
      <c r="H52" s="13">
        <v>0.36509493728927023</v>
      </c>
      <c r="I52" s="13">
        <v>0.40196761209331283</v>
      </c>
      <c r="J52" s="13">
        <v>0.38535221433695499</v>
      </c>
      <c r="K52" s="13">
        <v>0.37722442993452976</v>
      </c>
      <c r="L52" s="13">
        <v>0.37435764125661741</v>
      </c>
      <c r="M52" s="13">
        <v>0.36735303423745824</v>
      </c>
      <c r="N52" s="13">
        <v>0.34039365765541912</v>
      </c>
      <c r="O52" s="13">
        <v>0.33517148653000395</v>
      </c>
      <c r="P52" s="13">
        <v>0.33348407443623029</v>
      </c>
      <c r="Q52" s="13">
        <v>0.34726513016810939</v>
      </c>
      <c r="R52" s="13">
        <v>0.3484083154083214</v>
      </c>
      <c r="S52" s="13">
        <v>0.35231242164498339</v>
      </c>
      <c r="T52" s="13">
        <v>0.34250085056914265</v>
      </c>
      <c r="U52" s="13">
        <v>0.3322497357601053</v>
      </c>
      <c r="V52" s="10">
        <v>0.31969590117942714</v>
      </c>
      <c r="W52" s="10">
        <v>0.31525918329376301</v>
      </c>
      <c r="X52" s="13">
        <v>0.30333019066183697</v>
      </c>
      <c r="Y52" s="141"/>
      <c r="Z52" s="141"/>
      <c r="AA52" s="141"/>
      <c r="AB52" s="141"/>
    </row>
    <row r="53" spans="1:28" ht="15" thickBot="1" x14ac:dyDescent="0.4">
      <c r="A53" s="319"/>
      <c r="B53" s="43" t="s">
        <v>7</v>
      </c>
      <c r="C53" s="14" t="s">
        <v>4</v>
      </c>
      <c r="D53" s="15">
        <v>9.8629282483793212E-2</v>
      </c>
      <c r="E53" s="15">
        <v>0.11787701564444898</v>
      </c>
      <c r="F53" s="15">
        <v>0.10608252906539808</v>
      </c>
      <c r="G53" s="15">
        <v>0.10858090585253756</v>
      </c>
      <c r="H53" s="15">
        <v>8.8822305333850951E-2</v>
      </c>
      <c r="I53" s="15">
        <v>7.5626219026378089E-2</v>
      </c>
      <c r="J53" s="15">
        <v>7.3460065686644802E-2</v>
      </c>
      <c r="K53" s="15">
        <v>6.5068565933511027E-2</v>
      </c>
      <c r="L53" s="15">
        <v>6.3299378808028633E-2</v>
      </c>
      <c r="M53" s="15">
        <v>7.1276383191131859E-2</v>
      </c>
      <c r="N53" s="15">
        <v>7.3902312307245963E-2</v>
      </c>
      <c r="O53" s="15">
        <v>7.582583414512277E-2</v>
      </c>
      <c r="P53" s="15">
        <v>6.8195753855742475E-2</v>
      </c>
      <c r="Q53" s="15">
        <v>6.2666016541292391E-2</v>
      </c>
      <c r="R53" s="15">
        <v>6.9989058289789019E-2</v>
      </c>
      <c r="S53" s="15">
        <v>5.073704681719738E-2</v>
      </c>
      <c r="T53" s="15">
        <v>5.1574460469007627E-2</v>
      </c>
      <c r="U53" s="15">
        <v>4.8610848297916627E-2</v>
      </c>
      <c r="V53" s="15">
        <v>3.3462519012297999E-2</v>
      </c>
      <c r="W53" s="15">
        <v>3.2844869257742916E-2</v>
      </c>
      <c r="X53" s="15">
        <v>2.7277059798146899E-2</v>
      </c>
      <c r="Y53" s="141"/>
      <c r="Z53" s="141"/>
      <c r="AA53" s="141"/>
      <c r="AB53" s="141"/>
    </row>
    <row r="54" spans="1:28" ht="15" thickBot="1" x14ac:dyDescent="0.4">
      <c r="A54" s="320"/>
      <c r="B54" s="320"/>
      <c r="C54" s="320"/>
      <c r="D54" s="320"/>
      <c r="E54" s="320"/>
      <c r="F54" s="320"/>
      <c r="G54" s="320"/>
      <c r="H54" s="320"/>
      <c r="I54" s="320"/>
      <c r="J54" s="320"/>
      <c r="K54" s="320"/>
      <c r="L54" s="320"/>
      <c r="M54" s="320"/>
      <c r="N54" s="320"/>
      <c r="O54" s="320"/>
      <c r="P54" s="320"/>
      <c r="Q54" s="320"/>
      <c r="R54" s="320"/>
      <c r="S54" s="320"/>
      <c r="T54" s="320"/>
      <c r="U54" s="320"/>
      <c r="V54" s="320"/>
      <c r="W54" s="320"/>
      <c r="X54" s="321"/>
      <c r="Y54" s="141"/>
      <c r="Z54" s="141"/>
      <c r="AA54" s="141"/>
      <c r="AB54" s="141"/>
    </row>
    <row r="55" spans="1:28" ht="15" thickBot="1" x14ac:dyDescent="0.4">
      <c r="A55" s="317" t="s">
        <v>63</v>
      </c>
      <c r="B55" s="48" t="s">
        <v>64</v>
      </c>
      <c r="C55" s="17" t="s">
        <v>65</v>
      </c>
      <c r="D55" s="40">
        <v>0.62449003014246895</v>
      </c>
      <c r="E55" s="40">
        <v>0.63407003210444901</v>
      </c>
      <c r="F55" s="40">
        <v>0.64850003881705798</v>
      </c>
      <c r="G55" s="40">
        <v>0.65704002747222801</v>
      </c>
      <c r="H55" s="40">
        <v>0.67499003636323796</v>
      </c>
      <c r="I55" s="40">
        <v>0.68822003695296197</v>
      </c>
      <c r="J55" s="40">
        <v>0.69851003644802501</v>
      </c>
      <c r="K55" s="40">
        <v>0.71313002660836</v>
      </c>
      <c r="L55" s="40">
        <v>0.73179004235127099</v>
      </c>
      <c r="M55" s="40">
        <v>0.75037002884677495</v>
      </c>
      <c r="N55" s="40">
        <v>0.77049004114884101</v>
      </c>
      <c r="O55" s="40">
        <v>0.79287004836869601</v>
      </c>
      <c r="P55" s="40">
        <v>0.82019003092095999</v>
      </c>
      <c r="Q55" s="40">
        <v>0.85216004668377299</v>
      </c>
      <c r="R55" s="40">
        <v>0.88593005291039995</v>
      </c>
      <c r="S55" s="40">
        <v>0.91975004592654297</v>
      </c>
      <c r="T55" s="40">
        <v>0.94653004444113897</v>
      </c>
      <c r="U55" s="40">
        <v>0.97619004639954399</v>
      </c>
      <c r="V55" s="40">
        <v>1.0204726000000002</v>
      </c>
      <c r="W55" s="40">
        <v>1.0567436000000001</v>
      </c>
      <c r="X55" s="49">
        <v>1.0915964000000002</v>
      </c>
      <c r="Y55" s="141"/>
      <c r="Z55" s="141"/>
      <c r="AA55" s="141"/>
      <c r="AB55" s="141"/>
    </row>
    <row r="56" spans="1:28" x14ac:dyDescent="0.35">
      <c r="A56" s="318"/>
      <c r="B56" t="s">
        <v>66</v>
      </c>
      <c r="C56" s="9" t="s">
        <v>65</v>
      </c>
      <c r="D56" s="40">
        <v>0.77049004114884101</v>
      </c>
      <c r="E56" s="50"/>
      <c r="F56" s="50"/>
      <c r="G56" s="50"/>
      <c r="H56" s="50"/>
      <c r="I56" s="50"/>
      <c r="J56" s="50"/>
      <c r="K56" s="50"/>
      <c r="L56" s="50"/>
      <c r="M56" s="50"/>
      <c r="N56" s="50"/>
      <c r="O56" s="50"/>
      <c r="P56" s="50"/>
      <c r="Q56" s="50"/>
      <c r="R56" s="50"/>
      <c r="S56" s="50"/>
      <c r="T56" s="50"/>
      <c r="U56" s="50"/>
      <c r="V56" s="50"/>
      <c r="W56" s="50"/>
      <c r="X56" s="51"/>
      <c r="Y56" s="141"/>
      <c r="Z56" s="141"/>
      <c r="AA56" s="141"/>
      <c r="AB56" s="141"/>
    </row>
    <row r="57" spans="1:28" x14ac:dyDescent="0.35">
      <c r="A57" s="318"/>
      <c r="B57" s="52" t="s">
        <v>67</v>
      </c>
      <c r="C57" s="9" t="s">
        <v>65</v>
      </c>
      <c r="D57" s="53">
        <v>7.3846194199263249E-3</v>
      </c>
      <c r="E57" s="53">
        <v>7.5644601312248108E-3</v>
      </c>
      <c r="F57" s="53">
        <v>7.7486805782417106E-3</v>
      </c>
      <c r="G57" s="53">
        <v>7.9373874225044661E-3</v>
      </c>
      <c r="H57" s="53">
        <v>8.1306899231131033E-3</v>
      </c>
      <c r="I57" s="53">
        <v>8.3287000000000014E-3</v>
      </c>
      <c r="J57" s="53">
        <v>8.0096999999999998E-3</v>
      </c>
      <c r="K57" s="237">
        <v>8.2018999999999998E-3</v>
      </c>
      <c r="L57" s="237">
        <v>8.3577999999999986E-3</v>
      </c>
      <c r="M57" s="237">
        <v>8.3084999999999999E-3</v>
      </c>
      <c r="N57" s="237">
        <v>8.6897000000000016E-3</v>
      </c>
      <c r="O57" s="237">
        <v>8.9217999999999988E-3</v>
      </c>
      <c r="P57" s="237">
        <v>9.1435000000000006E-3</v>
      </c>
      <c r="Q57" s="237">
        <v>9.4634999999999997E-3</v>
      </c>
      <c r="R57" s="237">
        <v>9.9033999999999997E-3</v>
      </c>
      <c r="S57" s="237">
        <v>1.01248E-2</v>
      </c>
      <c r="T57" s="237">
        <v>1.0015399999999999E-2</v>
      </c>
      <c r="U57" s="237">
        <v>1.0482E-2</v>
      </c>
      <c r="V57" s="237">
        <v>1.0787E-2</v>
      </c>
      <c r="W57" s="10">
        <v>1.1457500000000001E-2</v>
      </c>
      <c r="X57" s="46">
        <v>1.18479E-2</v>
      </c>
      <c r="Y57" s="141"/>
      <c r="Z57" s="141"/>
      <c r="AA57" s="141"/>
      <c r="AB57" s="141"/>
    </row>
    <row r="58" spans="1:28" x14ac:dyDescent="0.35">
      <c r="A58" s="318"/>
      <c r="B58" t="s">
        <v>68</v>
      </c>
      <c r="C58" s="9" t="s">
        <v>65</v>
      </c>
      <c r="D58" s="237">
        <v>8.6897000000000016E-3</v>
      </c>
      <c r="E58" s="53"/>
      <c r="F58" s="53"/>
      <c r="G58" s="53"/>
      <c r="H58" s="53"/>
      <c r="I58" s="53"/>
      <c r="J58" s="53"/>
      <c r="K58" s="237"/>
      <c r="L58" s="237"/>
      <c r="M58" s="237"/>
      <c r="N58" s="237"/>
      <c r="O58" s="237"/>
      <c r="P58" s="237"/>
      <c r="Q58" s="237"/>
      <c r="R58" s="237"/>
      <c r="S58" s="237"/>
      <c r="T58" s="237"/>
      <c r="U58" s="237"/>
      <c r="V58" s="237"/>
      <c r="W58" s="10"/>
      <c r="X58" s="46"/>
      <c r="Y58" s="141"/>
      <c r="Z58" s="141"/>
      <c r="AA58" s="141"/>
      <c r="AB58" s="141"/>
    </row>
    <row r="59" spans="1:28" x14ac:dyDescent="0.35">
      <c r="A59" s="318"/>
      <c r="B59" s="52" t="s">
        <v>69</v>
      </c>
      <c r="C59" s="9" t="s">
        <v>65</v>
      </c>
      <c r="D59" s="237">
        <v>2.0755561302427578E-2</v>
      </c>
      <c r="E59" s="237">
        <v>2.2343248327393452E-2</v>
      </c>
      <c r="F59" s="237">
        <v>2.4052384734166706E-2</v>
      </c>
      <c r="G59" s="237">
        <v>2.5892260736819418E-2</v>
      </c>
      <c r="H59" s="237">
        <v>2.7872877200035642E-2</v>
      </c>
      <c r="I59" s="237">
        <v>3.0005E-2</v>
      </c>
      <c r="J59" s="237">
        <v>3.18786E-2</v>
      </c>
      <c r="K59" s="237">
        <v>3.3744300000000005E-2</v>
      </c>
      <c r="L59" s="237">
        <v>3.6718500000000001E-2</v>
      </c>
      <c r="M59" s="237">
        <v>3.9242100000000002E-2</v>
      </c>
      <c r="N59" s="237">
        <v>3.94749E-2</v>
      </c>
      <c r="O59" s="237">
        <v>4.3014900000000002E-2</v>
      </c>
      <c r="P59" s="237">
        <v>4.5154699999999999E-2</v>
      </c>
      <c r="Q59" s="237">
        <v>4.8858400000000003E-2</v>
      </c>
      <c r="R59" s="237">
        <v>5.4362000000000001E-2</v>
      </c>
      <c r="S59" s="237">
        <v>5.8852599999999998E-2</v>
      </c>
      <c r="T59" s="237">
        <v>6.2469699999999996E-2</v>
      </c>
      <c r="U59" s="237">
        <v>6.7154600000000009E-2</v>
      </c>
      <c r="V59" s="237">
        <v>7.3787399999999989E-2</v>
      </c>
      <c r="W59" s="237">
        <v>7.8254000000000004E-2</v>
      </c>
      <c r="X59" s="46">
        <v>8.4022199999999991E-2</v>
      </c>
      <c r="Y59" s="141"/>
      <c r="Z59" s="141"/>
      <c r="AA59" s="141"/>
      <c r="AB59" s="141"/>
    </row>
    <row r="60" spans="1:28" x14ac:dyDescent="0.35">
      <c r="A60" s="318"/>
      <c r="B60" t="s">
        <v>70</v>
      </c>
      <c r="C60" s="9" t="s">
        <v>65</v>
      </c>
      <c r="D60" s="237">
        <v>3.94749E-2</v>
      </c>
      <c r="E60" s="237"/>
      <c r="F60" s="237"/>
      <c r="G60" s="237"/>
      <c r="H60" s="237"/>
      <c r="I60" s="237"/>
      <c r="J60" s="237"/>
      <c r="K60" s="237"/>
      <c r="L60" s="237"/>
      <c r="M60" s="237"/>
      <c r="N60" s="237"/>
      <c r="O60" s="237"/>
      <c r="P60" s="237"/>
      <c r="Q60" s="237"/>
      <c r="R60" s="237"/>
      <c r="S60" s="237"/>
      <c r="T60" s="237"/>
      <c r="U60" s="237"/>
      <c r="V60" s="237"/>
      <c r="W60" s="237"/>
      <c r="X60" s="46"/>
      <c r="Y60" s="141"/>
      <c r="Z60" s="141"/>
      <c r="AA60" s="141"/>
      <c r="AB60" s="141"/>
    </row>
    <row r="61" spans="1:28" x14ac:dyDescent="0.35">
      <c r="A61" s="318"/>
      <c r="B61" s="54" t="s">
        <v>71</v>
      </c>
      <c r="C61" s="9" t="s">
        <v>65</v>
      </c>
      <c r="D61" s="237">
        <v>2.0760889860613118E-4</v>
      </c>
      <c r="E61" s="237">
        <v>2.18011155677108E-4</v>
      </c>
      <c r="F61" s="237">
        <v>2.2893461850032943E-4</v>
      </c>
      <c r="G61" s="237">
        <v>2.404054021231664E-4</v>
      </c>
      <c r="H61" s="237">
        <v>2.5245093008909953E-4</v>
      </c>
      <c r="I61" s="237">
        <v>2.6510000000000005E-4</v>
      </c>
      <c r="J61" s="237">
        <v>2.6510000000000005E-4</v>
      </c>
      <c r="K61" s="237">
        <v>2.6510000000000005E-4</v>
      </c>
      <c r="L61" s="237">
        <v>2.6510000000000005E-4</v>
      </c>
      <c r="M61" s="237">
        <v>2.6510000000000005E-4</v>
      </c>
      <c r="N61" s="237">
        <v>2.6510000000000005E-4</v>
      </c>
      <c r="O61" s="237">
        <v>2.6510000000000005E-4</v>
      </c>
      <c r="P61" s="237">
        <v>2.6739999999999999E-4</v>
      </c>
      <c r="Q61" s="237">
        <v>2.6739999999999999E-4</v>
      </c>
      <c r="R61" s="237">
        <v>2.6910000000000004E-4</v>
      </c>
      <c r="S61" s="237">
        <v>2.7069999999999997E-4</v>
      </c>
      <c r="T61" s="237">
        <v>5.2510000000000002E-4</v>
      </c>
      <c r="U61" s="237">
        <v>5.2770000000000009E-4</v>
      </c>
      <c r="V61" s="237">
        <v>5.2649999999999995E-4</v>
      </c>
      <c r="W61" s="237">
        <v>5.2729999999999997E-4</v>
      </c>
      <c r="X61" s="46">
        <v>5.3339999999999995E-4</v>
      </c>
      <c r="Y61" s="141"/>
      <c r="Z61" s="141"/>
      <c r="AA61" s="141"/>
      <c r="AB61" s="141"/>
    </row>
    <row r="62" spans="1:28" x14ac:dyDescent="0.35">
      <c r="A62" s="318"/>
      <c r="B62" t="s">
        <v>72</v>
      </c>
      <c r="C62" s="9" t="s">
        <v>65</v>
      </c>
      <c r="D62" s="237">
        <v>2.6510000000000005E-4</v>
      </c>
      <c r="E62" s="237"/>
      <c r="F62" s="237"/>
      <c r="G62" s="237"/>
      <c r="H62" s="237"/>
      <c r="I62" s="237"/>
      <c r="J62" s="237"/>
      <c r="K62" s="237"/>
      <c r="L62" s="237"/>
      <c r="M62" s="237"/>
      <c r="N62" s="237"/>
      <c r="O62" s="237"/>
      <c r="P62" s="237"/>
      <c r="Q62" s="237"/>
      <c r="R62" s="237"/>
      <c r="S62" s="237"/>
      <c r="T62" s="237"/>
      <c r="U62" s="237"/>
      <c r="V62" s="237"/>
      <c r="W62" s="237"/>
      <c r="X62" s="46"/>
      <c r="Y62" s="141"/>
      <c r="Z62" s="141"/>
      <c r="AA62" s="141"/>
      <c r="AB62" s="141"/>
    </row>
    <row r="63" spans="1:28" x14ac:dyDescent="0.35">
      <c r="A63" s="318"/>
      <c r="B63" s="54" t="s">
        <v>73</v>
      </c>
      <c r="C63" s="9" t="s">
        <v>65</v>
      </c>
      <c r="D63" s="237">
        <v>4.5570622753930796E-3</v>
      </c>
      <c r="E63" s="237">
        <v>5.9479760663511761E-3</v>
      </c>
      <c r="F63" s="237">
        <v>7.7634267753856337E-3</v>
      </c>
      <c r="G63" s="237">
        <v>1.0132992235415647E-2</v>
      </c>
      <c r="H63" s="237">
        <v>1.3225800231482635E-2</v>
      </c>
      <c r="I63" s="237">
        <v>1.7262599999999999E-2</v>
      </c>
      <c r="J63" s="237">
        <v>2.3892099999999999E-2</v>
      </c>
      <c r="K63" s="237">
        <v>3.06214E-2</v>
      </c>
      <c r="L63" s="237">
        <v>3.8160599999999996E-2</v>
      </c>
      <c r="M63" s="237">
        <v>4.6517699999999995E-2</v>
      </c>
      <c r="N63" s="237">
        <v>5.7833000000000002E-2</v>
      </c>
      <c r="O63" s="237">
        <v>7.2397299999999998E-2</v>
      </c>
      <c r="P63" s="237">
        <v>9.2458800000000008E-2</v>
      </c>
      <c r="Q63" s="237">
        <v>0.1182237</v>
      </c>
      <c r="R63" s="237">
        <v>0.147983</v>
      </c>
      <c r="S63" s="237">
        <v>0.17954010000000001</v>
      </c>
      <c r="T63" s="237">
        <v>0.21826189999999998</v>
      </c>
      <c r="U63" s="237">
        <v>0.26633959999999995</v>
      </c>
      <c r="V63" s="237">
        <v>0.29612450000000001</v>
      </c>
      <c r="W63" s="237">
        <v>0.34173100000000001</v>
      </c>
      <c r="X63" s="46">
        <v>0.40366730000000001</v>
      </c>
      <c r="Y63" s="141"/>
      <c r="Z63" s="141"/>
      <c r="AA63" s="141"/>
      <c r="AB63" s="141"/>
    </row>
    <row r="64" spans="1:28" x14ac:dyDescent="0.35">
      <c r="A64" s="318"/>
      <c r="B64" t="s">
        <v>74</v>
      </c>
      <c r="C64" s="9" t="s">
        <v>65</v>
      </c>
      <c r="D64" s="237">
        <v>5.7833000000000002E-2</v>
      </c>
      <c r="E64" s="237"/>
      <c r="F64" s="237"/>
      <c r="G64" s="237"/>
      <c r="H64" s="237"/>
      <c r="I64" s="237"/>
      <c r="J64" s="237"/>
      <c r="K64" s="237"/>
      <c r="L64" s="237"/>
      <c r="M64" s="237"/>
      <c r="N64" s="237"/>
      <c r="O64" s="237"/>
      <c r="P64" s="237"/>
      <c r="Q64" s="237"/>
      <c r="R64" s="237"/>
      <c r="S64" s="237"/>
      <c r="T64" s="237"/>
      <c r="U64" s="237"/>
      <c r="V64" s="237"/>
      <c r="W64" s="237"/>
      <c r="X64" s="46"/>
      <c r="Y64" s="141"/>
      <c r="Z64" s="141"/>
      <c r="AA64" s="141"/>
      <c r="AB64" s="141"/>
    </row>
    <row r="65" spans="1:28" x14ac:dyDescent="0.35">
      <c r="A65" s="318"/>
      <c r="B65" s="54" t="s">
        <v>75</v>
      </c>
      <c r="C65" s="9" t="s">
        <v>65</v>
      </c>
      <c r="D65" s="237">
        <v>4.7771042047693702E-6</v>
      </c>
      <c r="E65" s="237">
        <v>8.1011510967819614E-6</v>
      </c>
      <c r="F65" s="237">
        <v>1.3738165691962337E-5</v>
      </c>
      <c r="G65" s="237">
        <v>2.3297577631255819E-5</v>
      </c>
      <c r="H65" s="237">
        <v>3.9508704120663585E-5</v>
      </c>
      <c r="I65" s="237">
        <v>6.7000000000000002E-5</v>
      </c>
      <c r="J65" s="237">
        <v>7.7000000000000001E-5</v>
      </c>
      <c r="K65" s="237">
        <v>2.3699999999999999E-4</v>
      </c>
      <c r="L65" s="237">
        <v>5.0719999999999997E-4</v>
      </c>
      <c r="M65" s="237">
        <v>5.9739999999999999E-4</v>
      </c>
      <c r="N65" s="237">
        <v>6.8439999999999994E-4</v>
      </c>
      <c r="O65" s="237">
        <v>8.8340000000000001E-4</v>
      </c>
      <c r="P65" s="237">
        <v>1.0939000000000001E-3</v>
      </c>
      <c r="Q65" s="237">
        <v>1.4419000000000001E-3</v>
      </c>
      <c r="R65" s="237">
        <v>2.1586999999999999E-3</v>
      </c>
      <c r="S65" s="237">
        <v>3.1435E-3</v>
      </c>
      <c r="T65" s="237">
        <v>3.7905E-3</v>
      </c>
      <c r="U65" s="237">
        <v>5.3741000000000006E-3</v>
      </c>
      <c r="V65" s="237">
        <v>7.5502E-3</v>
      </c>
      <c r="W65" s="237">
        <v>8.4936999999999999E-3</v>
      </c>
      <c r="X65" s="46">
        <v>1.1636700000000002E-2</v>
      </c>
      <c r="Y65" s="141"/>
      <c r="Z65" s="141"/>
      <c r="AA65" s="141"/>
      <c r="AB65" s="141"/>
    </row>
    <row r="66" spans="1:28" x14ac:dyDescent="0.35">
      <c r="A66" s="318"/>
      <c r="B66" t="s">
        <v>76</v>
      </c>
      <c r="C66" s="9" t="s">
        <v>65</v>
      </c>
      <c r="D66" s="237">
        <v>6.8439999999999994E-4</v>
      </c>
      <c r="E66" s="237"/>
      <c r="F66" s="237"/>
      <c r="G66" s="237"/>
      <c r="H66" s="237"/>
      <c r="I66" s="237"/>
      <c r="J66" s="237"/>
      <c r="K66" s="237"/>
      <c r="L66" s="237"/>
      <c r="M66" s="237"/>
      <c r="N66" s="237"/>
      <c r="O66" s="237"/>
      <c r="P66" s="237"/>
      <c r="Q66" s="237"/>
      <c r="R66" s="237"/>
      <c r="S66" s="237"/>
      <c r="T66" s="237"/>
      <c r="U66" s="237"/>
      <c r="V66" s="237"/>
      <c r="W66" s="237"/>
      <c r="X66" s="46"/>
      <c r="Y66" s="141"/>
      <c r="Z66" s="141"/>
      <c r="AA66" s="141"/>
      <c r="AB66" s="141"/>
    </row>
    <row r="67" spans="1:28" x14ac:dyDescent="0.35">
      <c r="A67" s="318"/>
      <c r="B67" s="54" t="s">
        <v>77</v>
      </c>
      <c r="C67" s="9" t="s">
        <v>65</v>
      </c>
      <c r="D67" s="237">
        <v>3.9210437667487612E-5</v>
      </c>
      <c r="E67" s="237">
        <v>7.1738278763115452E-5</v>
      </c>
      <c r="F67" s="237">
        <v>1.3125027278544562E-4</v>
      </c>
      <c r="G67" s="237">
        <v>2.4013168984911632E-4</v>
      </c>
      <c r="H67" s="237">
        <v>4.3933797047457628E-4</v>
      </c>
      <c r="I67" s="237">
        <v>8.0379999999999991E-4</v>
      </c>
      <c r="J67" s="237">
        <v>1.0862999999999999E-3</v>
      </c>
      <c r="K67" s="237">
        <v>1.4352E-3</v>
      </c>
      <c r="L67" s="237">
        <v>1.9645000000000001E-3</v>
      </c>
      <c r="M67" s="237">
        <v>3.0528E-3</v>
      </c>
      <c r="N67" s="237">
        <v>4.5056000000000002E-3</v>
      </c>
      <c r="O67" s="237">
        <v>6.0833999999999992E-3</v>
      </c>
      <c r="P67" s="237">
        <v>8.6420999999999998E-3</v>
      </c>
      <c r="Q67" s="237">
        <v>1.45796E-2</v>
      </c>
      <c r="R67" s="237">
        <v>2.2431900000000001E-2</v>
      </c>
      <c r="S67" s="237">
        <v>3.8792500000000001E-2</v>
      </c>
      <c r="T67" s="237">
        <v>6.9376699999999999E-2</v>
      </c>
      <c r="U67" s="237">
        <v>9.8946999999999993E-2</v>
      </c>
      <c r="V67" s="237">
        <v>0.13539889999999999</v>
      </c>
      <c r="W67" s="237">
        <v>0.17189550000000001</v>
      </c>
      <c r="X67" s="46">
        <v>0.21929660000000001</v>
      </c>
      <c r="Y67" s="141"/>
      <c r="Z67" s="141"/>
      <c r="AA67" s="141"/>
      <c r="AB67" s="141"/>
    </row>
    <row r="68" spans="1:28" x14ac:dyDescent="0.35">
      <c r="A68" s="318"/>
      <c r="B68" t="s">
        <v>78</v>
      </c>
      <c r="C68" s="9" t="s">
        <v>65</v>
      </c>
      <c r="D68" s="237">
        <v>4.5056000000000002E-3</v>
      </c>
      <c r="E68" s="237"/>
      <c r="F68" s="237"/>
      <c r="G68" s="237"/>
      <c r="H68" s="237"/>
      <c r="I68" s="237"/>
      <c r="J68" s="237"/>
      <c r="K68" s="237"/>
      <c r="L68" s="237"/>
      <c r="M68" s="237"/>
      <c r="N68" s="237"/>
      <c r="O68" s="237"/>
      <c r="P68" s="237"/>
      <c r="Q68" s="237"/>
      <c r="R68" s="237"/>
      <c r="S68" s="237"/>
      <c r="T68" s="237"/>
      <c r="U68" s="237"/>
      <c r="V68" s="237"/>
      <c r="W68" s="237"/>
      <c r="X68" s="46"/>
      <c r="Y68" s="141"/>
      <c r="Z68" s="141"/>
      <c r="AA68" s="141"/>
      <c r="AB68" s="141"/>
    </row>
    <row r="69" spans="1:28" x14ac:dyDescent="0.35">
      <c r="A69" s="318"/>
      <c r="B69" s="54" t="s">
        <v>79</v>
      </c>
      <c r="C69" s="9" t="s">
        <v>65</v>
      </c>
      <c r="D69" s="237">
        <v>3.5380000000000003E-4</v>
      </c>
      <c r="E69" s="237">
        <v>3.5380000000000003E-4</v>
      </c>
      <c r="F69" s="237">
        <v>3.5380000000000003E-4</v>
      </c>
      <c r="G69" s="237">
        <v>3.5380000000000003E-4</v>
      </c>
      <c r="H69" s="237">
        <v>3.5380000000000003E-4</v>
      </c>
      <c r="I69" s="237">
        <v>3.5380000000000003E-4</v>
      </c>
      <c r="J69" s="237">
        <v>3.5380000000000003E-4</v>
      </c>
      <c r="K69" s="237">
        <v>3.5380000000000003E-4</v>
      </c>
      <c r="L69" s="237">
        <v>3.5380000000000003E-4</v>
      </c>
      <c r="M69" s="237">
        <v>3.5380000000000003E-4</v>
      </c>
      <c r="N69" s="237">
        <v>3.5380000000000003E-4</v>
      </c>
      <c r="O69" s="237">
        <v>3.4099999999999999E-4</v>
      </c>
      <c r="P69" s="237">
        <v>4.2400000000000001E-4</v>
      </c>
      <c r="Q69" s="237">
        <v>4.8039999999999997E-4</v>
      </c>
      <c r="R69" s="237">
        <v>8.0770000000000006E-4</v>
      </c>
      <c r="S69" s="237">
        <v>1.1608199999999999E-3</v>
      </c>
      <c r="T69" s="237">
        <v>1.67582E-3</v>
      </c>
      <c r="U69" s="237">
        <v>2.5330700000000001E-3</v>
      </c>
      <c r="V69" s="237">
        <v>3.2809200000000001E-3</v>
      </c>
      <c r="W69" s="237">
        <v>4.3380200000000006E-3</v>
      </c>
      <c r="X69" s="46">
        <v>4.69302E-3</v>
      </c>
      <c r="Y69" s="141"/>
      <c r="Z69" s="141"/>
      <c r="AA69" s="141"/>
      <c r="AB69" s="141"/>
    </row>
    <row r="70" spans="1:28" x14ac:dyDescent="0.35">
      <c r="A70" s="318"/>
      <c r="B70" t="s">
        <v>80</v>
      </c>
      <c r="C70" s="9" t="s">
        <v>65</v>
      </c>
      <c r="D70" s="237">
        <v>3.5380000000000003E-4</v>
      </c>
      <c r="E70" s="237"/>
      <c r="F70" s="237"/>
      <c r="G70" s="237"/>
      <c r="H70" s="237"/>
      <c r="I70" s="237"/>
      <c r="J70" s="237"/>
      <c r="K70" s="237"/>
      <c r="L70" s="237"/>
      <c r="M70" s="237"/>
      <c r="N70" s="237"/>
      <c r="O70" s="237"/>
      <c r="P70" s="237"/>
      <c r="Q70" s="237"/>
      <c r="R70" s="237"/>
      <c r="S70" s="237"/>
      <c r="T70" s="237"/>
      <c r="U70" s="237"/>
      <c r="V70" s="237"/>
      <c r="W70" s="237"/>
      <c r="X70" s="46"/>
      <c r="Y70" s="141"/>
      <c r="Z70" s="141"/>
      <c r="AA70" s="141"/>
      <c r="AB70" s="141"/>
    </row>
    <row r="71" spans="1:28" x14ac:dyDescent="0.35">
      <c r="A71" s="318"/>
      <c r="B71" s="55"/>
      <c r="C71" s="9"/>
      <c r="D71" s="53"/>
      <c r="E71" s="53"/>
      <c r="F71" s="53"/>
      <c r="G71" s="53"/>
      <c r="H71" s="53"/>
      <c r="I71" s="53"/>
      <c r="J71" s="53"/>
      <c r="K71" s="53"/>
      <c r="L71" s="53"/>
      <c r="M71" s="53"/>
      <c r="N71" s="53"/>
      <c r="O71" s="53"/>
      <c r="P71" s="53"/>
      <c r="Q71" s="53"/>
      <c r="R71" s="53"/>
      <c r="S71" s="53"/>
      <c r="T71" s="53"/>
      <c r="U71" s="53"/>
      <c r="V71" s="53"/>
      <c r="W71" s="53"/>
      <c r="X71" s="51"/>
      <c r="Y71" s="141"/>
      <c r="Z71" s="141"/>
      <c r="AA71" s="141"/>
      <c r="AB71" s="141"/>
    </row>
    <row r="72" spans="1:28" ht="15" thickBot="1" x14ac:dyDescent="0.4">
      <c r="A72" s="319"/>
      <c r="B72" s="44"/>
      <c r="C72" s="20"/>
      <c r="D72" s="53"/>
      <c r="E72" s="44"/>
      <c r="F72" s="44"/>
      <c r="G72" s="44"/>
      <c r="H72" s="44"/>
      <c r="I72" s="44"/>
      <c r="J72" s="44"/>
      <c r="K72" s="44"/>
      <c r="L72" s="44"/>
      <c r="M72" s="44"/>
      <c r="N72" s="44"/>
      <c r="O72" s="44"/>
      <c r="P72" s="44"/>
      <c r="Q72" s="44"/>
      <c r="R72" s="44"/>
      <c r="S72" s="44"/>
      <c r="T72" s="44"/>
      <c r="U72" s="44"/>
      <c r="V72" s="44"/>
      <c r="W72" s="44"/>
      <c r="X72" s="57"/>
      <c r="Y72" s="141"/>
      <c r="Z72" s="141"/>
      <c r="AA72" s="141"/>
      <c r="AB72" s="141"/>
    </row>
    <row r="73" spans="1:28" ht="15" thickBot="1" x14ac:dyDescent="0.4">
      <c r="A73" s="322" t="s">
        <v>81</v>
      </c>
      <c r="B73" s="58" t="s">
        <v>82</v>
      </c>
      <c r="C73" s="59" t="s">
        <v>83</v>
      </c>
      <c r="D73" s="60">
        <v>0.86732781999999997</v>
      </c>
      <c r="E73" s="61">
        <v>0.90335095999999993</v>
      </c>
      <c r="F73" s="61">
        <v>0.81759914</v>
      </c>
      <c r="G73" s="61">
        <v>0.74229677999999999</v>
      </c>
      <c r="H73" s="61">
        <v>0.68570774000000001</v>
      </c>
      <c r="I73" s="61">
        <v>1.03101072</v>
      </c>
      <c r="J73" s="61">
        <v>1.01775427</v>
      </c>
      <c r="K73" s="61">
        <v>1.08015287</v>
      </c>
      <c r="L73" s="61">
        <v>1.18593028</v>
      </c>
      <c r="M73" s="61">
        <v>1.2922654099999999</v>
      </c>
      <c r="N73" s="61">
        <v>1.4364099399999999</v>
      </c>
      <c r="O73" s="61">
        <v>1.6726974399999999</v>
      </c>
      <c r="P73" s="61">
        <v>1.7306662800000001</v>
      </c>
      <c r="Q73" s="61">
        <v>1.74080181</v>
      </c>
      <c r="R73" s="62">
        <v>1.78348197</v>
      </c>
      <c r="Y73" s="141"/>
      <c r="Z73" s="141"/>
      <c r="AA73" s="141"/>
      <c r="AB73" s="141"/>
    </row>
    <row r="74" spans="1:28" x14ac:dyDescent="0.35">
      <c r="A74" s="323"/>
      <c r="B74" t="s">
        <v>84</v>
      </c>
      <c r="C74" s="45" t="s">
        <v>83</v>
      </c>
      <c r="D74" s="61">
        <v>1.4364099399999999</v>
      </c>
      <c r="E74" s="63"/>
      <c r="F74" s="63"/>
      <c r="G74" s="63"/>
      <c r="H74" s="63"/>
      <c r="I74" s="63"/>
      <c r="J74" s="63"/>
      <c r="K74" s="63"/>
      <c r="L74" s="63"/>
      <c r="M74" s="63"/>
      <c r="N74" s="63"/>
      <c r="O74" s="63"/>
      <c r="P74" s="63"/>
      <c r="Q74" s="63"/>
      <c r="R74" s="64"/>
      <c r="Y74" s="141"/>
      <c r="Z74" s="141"/>
      <c r="AA74" s="141"/>
      <c r="AB74" s="141"/>
    </row>
    <row r="75" spans="1:28" x14ac:dyDescent="0.35">
      <c r="A75" s="323"/>
      <c r="B75" s="65" t="s">
        <v>85</v>
      </c>
      <c r="C75" s="45" t="s">
        <v>83</v>
      </c>
      <c r="D75" s="53">
        <v>17.864744510000001</v>
      </c>
      <c r="E75" s="63">
        <v>18.642216100000002</v>
      </c>
      <c r="F75" s="63">
        <v>19.669279510000003</v>
      </c>
      <c r="G75" s="63">
        <v>19.482172170000002</v>
      </c>
      <c r="H75" s="63">
        <v>20.125920090000001</v>
      </c>
      <c r="I75" s="63">
        <v>20.309394920000003</v>
      </c>
      <c r="J75" s="63">
        <v>20.619444329999997</v>
      </c>
      <c r="K75" s="63">
        <v>21.341370569999999</v>
      </c>
      <c r="L75" s="63">
        <v>22.061055700000001</v>
      </c>
      <c r="M75" s="63">
        <v>23.329663050000001</v>
      </c>
      <c r="N75" s="63">
        <v>23.355337600000002</v>
      </c>
      <c r="O75" s="63">
        <v>24.137153670000004</v>
      </c>
      <c r="P75" s="63">
        <v>24.616445300000002</v>
      </c>
      <c r="Q75" s="63">
        <v>23.631628339999999</v>
      </c>
      <c r="R75" s="64">
        <v>23.839961539999997</v>
      </c>
      <c r="Y75" s="141"/>
      <c r="Z75" s="141"/>
      <c r="AA75" s="141"/>
      <c r="AB75" s="141"/>
    </row>
    <row r="76" spans="1:28" x14ac:dyDescent="0.35">
      <c r="A76" s="323"/>
      <c r="B76" t="s">
        <v>86</v>
      </c>
      <c r="C76" s="45" t="s">
        <v>83</v>
      </c>
      <c r="D76" s="63">
        <v>23.355337600000002</v>
      </c>
      <c r="E76" s="63"/>
      <c r="F76" s="63"/>
      <c r="G76" s="63"/>
      <c r="H76" s="63"/>
      <c r="I76" s="63"/>
      <c r="J76" s="63"/>
      <c r="K76" s="63"/>
      <c r="L76" s="63"/>
      <c r="M76" s="63"/>
      <c r="N76" s="63"/>
      <c r="O76" s="63"/>
      <c r="P76" s="63"/>
      <c r="Q76" s="63"/>
      <c r="R76" s="64"/>
      <c r="Y76" s="141"/>
      <c r="Z76" s="141"/>
      <c r="AA76" s="141"/>
      <c r="AB76" s="141"/>
    </row>
    <row r="77" spans="1:28" x14ac:dyDescent="0.35">
      <c r="A77" s="323"/>
      <c r="B77" s="65" t="s">
        <v>87</v>
      </c>
      <c r="C77" s="45" t="s">
        <v>83</v>
      </c>
      <c r="D77" s="53">
        <v>3.74572862</v>
      </c>
      <c r="E77" s="63">
        <v>3.7529589300000001</v>
      </c>
      <c r="F77" s="63">
        <v>4.0314329200000003</v>
      </c>
      <c r="G77" s="63">
        <v>4.0546653900000003</v>
      </c>
      <c r="H77" s="63">
        <v>4.1766724200000001</v>
      </c>
      <c r="I77" s="63">
        <v>4.4720185099999998</v>
      </c>
      <c r="J77" s="63">
        <v>4.3420209199999995</v>
      </c>
      <c r="K77" s="63">
        <v>4.3756594699999996</v>
      </c>
      <c r="L77" s="63">
        <v>4.4516014899999998</v>
      </c>
      <c r="M77" s="63">
        <v>4.7861361100000002</v>
      </c>
      <c r="N77" s="63">
        <v>5.14473235</v>
      </c>
      <c r="O77" s="63">
        <v>5.00779145</v>
      </c>
      <c r="P77" s="63">
        <v>5.3063370899999995</v>
      </c>
      <c r="Q77" s="63">
        <v>5.3385370599999993</v>
      </c>
      <c r="R77" s="64">
        <v>5.4843511999999999</v>
      </c>
      <c r="Y77" s="141"/>
      <c r="Z77" s="141"/>
      <c r="AA77" s="141"/>
      <c r="AB77" s="141"/>
    </row>
    <row r="78" spans="1:28" x14ac:dyDescent="0.35">
      <c r="A78" s="323"/>
      <c r="B78" t="s">
        <v>88</v>
      </c>
      <c r="C78" s="45" t="s">
        <v>83</v>
      </c>
      <c r="D78" s="63">
        <v>5.14473235</v>
      </c>
      <c r="E78" s="66"/>
      <c r="F78" s="66"/>
      <c r="G78" s="66"/>
      <c r="H78" s="66"/>
      <c r="I78" s="66"/>
      <c r="J78" s="66"/>
      <c r="K78" s="66"/>
      <c r="L78" s="66"/>
      <c r="M78" s="66"/>
      <c r="N78" s="66"/>
      <c r="O78" s="66"/>
      <c r="P78" s="66"/>
      <c r="Q78" s="66"/>
      <c r="R78" s="67"/>
      <c r="Y78" s="141"/>
      <c r="Z78" s="141"/>
      <c r="AA78" s="141"/>
      <c r="AB78" s="141"/>
    </row>
    <row r="79" spans="1:28" x14ac:dyDescent="0.35">
      <c r="A79" s="323"/>
      <c r="B79" s="65" t="s">
        <v>89</v>
      </c>
      <c r="C79" s="45" t="s">
        <v>83</v>
      </c>
      <c r="D79" s="45">
        <f t="shared" ref="D79:R79" si="4">D3/1000000</f>
        <v>1.9949999999999998E-3</v>
      </c>
      <c r="E79" s="45">
        <f t="shared" si="4"/>
        <v>1.9959999999999999E-3</v>
      </c>
      <c r="F79" s="45">
        <f t="shared" si="4"/>
        <v>1.9970000000000001E-3</v>
      </c>
      <c r="G79" s="45">
        <f t="shared" si="4"/>
        <v>1.9980000000000002E-3</v>
      </c>
      <c r="H79" s="45">
        <f t="shared" si="4"/>
        <v>1.9989999999999999E-3</v>
      </c>
      <c r="I79" s="45">
        <f t="shared" si="4"/>
        <v>2E-3</v>
      </c>
      <c r="J79" s="45">
        <f t="shared" si="4"/>
        <v>2.0010000000000002E-3</v>
      </c>
      <c r="K79" s="45">
        <f t="shared" si="4"/>
        <v>2.0019999999999999E-3</v>
      </c>
      <c r="L79" s="45">
        <f t="shared" si="4"/>
        <v>2.003E-3</v>
      </c>
      <c r="M79" s="45">
        <f t="shared" si="4"/>
        <v>2.0040000000000001E-3</v>
      </c>
      <c r="N79" s="45">
        <f t="shared" si="4"/>
        <v>2.0049999999999998E-3</v>
      </c>
      <c r="O79" s="45">
        <f t="shared" si="4"/>
        <v>2.006E-3</v>
      </c>
      <c r="P79" s="45">
        <f t="shared" si="4"/>
        <v>2.0070000000000001E-3</v>
      </c>
      <c r="Q79" s="45">
        <f t="shared" si="4"/>
        <v>2.0079999999999998E-3</v>
      </c>
      <c r="R79" s="68">
        <f t="shared" si="4"/>
        <v>2.0089999999999999E-3</v>
      </c>
      <c r="Y79" s="141"/>
      <c r="Z79" s="141"/>
      <c r="AA79" s="141"/>
      <c r="AB79" s="141"/>
    </row>
    <row r="80" spans="1:28" ht="15" thickBot="1" x14ac:dyDescent="0.4">
      <c r="A80" s="324"/>
      <c r="B80" s="44" t="s">
        <v>90</v>
      </c>
      <c r="C80" s="56" t="s">
        <v>83</v>
      </c>
      <c r="D80" s="45">
        <v>2.0049999999999998E-3</v>
      </c>
      <c r="E80" s="56"/>
      <c r="F80" s="56"/>
      <c r="G80" s="56"/>
      <c r="H80" s="56"/>
      <c r="I80" s="56"/>
      <c r="J80" s="56"/>
      <c r="K80" s="56"/>
      <c r="L80" s="56"/>
      <c r="M80" s="56"/>
      <c r="N80" s="56"/>
      <c r="O80" s="56"/>
      <c r="P80" s="56"/>
      <c r="Q80" s="56"/>
      <c r="R80" s="69"/>
      <c r="Y80" s="141"/>
      <c r="Z80" s="141"/>
      <c r="AA80" s="141"/>
      <c r="AB80" s="141"/>
    </row>
    <row r="81" spans="1:28" x14ac:dyDescent="0.35">
      <c r="A81" s="308"/>
      <c r="B81" s="65"/>
      <c r="C81" s="70"/>
      <c r="D81" s="71"/>
      <c r="E81" s="71"/>
      <c r="F81" s="71"/>
      <c r="G81" s="71"/>
      <c r="H81" s="71"/>
      <c r="I81" s="71"/>
      <c r="J81" s="71"/>
      <c r="K81" s="71"/>
      <c r="L81" s="71"/>
      <c r="M81" s="71"/>
      <c r="N81" s="71"/>
      <c r="O81" s="71"/>
      <c r="P81" s="71"/>
      <c r="Q81" s="71"/>
      <c r="R81" s="72"/>
      <c r="Y81" s="141"/>
      <c r="Z81" s="141"/>
      <c r="AA81" s="141"/>
      <c r="AB81" s="141"/>
    </row>
    <row r="82" spans="1:28" x14ac:dyDescent="0.35">
      <c r="A82" s="309"/>
      <c r="B82" s="65"/>
      <c r="C82" s="70"/>
      <c r="D82" s="71"/>
      <c r="E82" s="71"/>
      <c r="F82" s="71"/>
      <c r="G82" s="71"/>
      <c r="H82" s="71"/>
      <c r="I82" s="71"/>
      <c r="J82" s="71"/>
      <c r="K82" s="71"/>
      <c r="L82" s="71"/>
      <c r="M82" s="71"/>
      <c r="N82" s="71"/>
      <c r="O82" s="71"/>
      <c r="P82" s="71"/>
      <c r="Q82" s="71"/>
      <c r="R82" s="72"/>
      <c r="Y82" s="141"/>
      <c r="Z82" s="141"/>
      <c r="AA82" s="141"/>
      <c r="AB82" s="141"/>
    </row>
    <row r="83" spans="1:28" ht="15" thickBot="1" x14ac:dyDescent="0.4">
      <c r="A83" s="309"/>
      <c r="B83" s="73"/>
      <c r="C83" s="74"/>
      <c r="D83" s="75"/>
      <c r="E83" s="75"/>
      <c r="F83" s="75"/>
      <c r="G83" s="75"/>
      <c r="H83" s="75"/>
      <c r="I83" s="75"/>
      <c r="J83" s="75"/>
      <c r="K83" s="75"/>
      <c r="L83" s="75"/>
      <c r="M83" s="75"/>
      <c r="N83" s="75"/>
      <c r="O83" s="75"/>
      <c r="P83" s="75"/>
      <c r="Q83" s="75"/>
      <c r="R83" s="76"/>
      <c r="Y83" s="141"/>
      <c r="Z83" s="141"/>
      <c r="AA83" s="141"/>
      <c r="AB83" s="141"/>
    </row>
    <row r="84" spans="1:28" x14ac:dyDescent="0.35">
      <c r="A84" s="308"/>
      <c r="B84" s="65"/>
      <c r="C84" s="70"/>
      <c r="D84" s="237"/>
      <c r="E84" s="237"/>
      <c r="F84" s="237"/>
      <c r="G84" s="237"/>
      <c r="H84" s="237"/>
      <c r="I84" s="237"/>
      <c r="J84" s="237"/>
      <c r="K84" s="237"/>
      <c r="L84" s="237"/>
      <c r="M84" s="237"/>
      <c r="N84" s="237"/>
      <c r="O84" s="237"/>
      <c r="P84" s="237"/>
      <c r="Q84" s="237"/>
      <c r="R84" s="237"/>
      <c r="S84" s="237"/>
      <c r="T84" s="237"/>
      <c r="U84" s="237"/>
      <c r="V84" s="237"/>
      <c r="W84" s="46"/>
      <c r="Y84" s="141"/>
      <c r="Z84" s="141"/>
      <c r="AA84" s="141"/>
      <c r="AB84" s="141"/>
    </row>
    <row r="85" spans="1:28" x14ac:dyDescent="0.35">
      <c r="A85" s="309"/>
      <c r="B85" s="65"/>
      <c r="C85" s="70"/>
      <c r="D85" s="237"/>
      <c r="E85" s="237"/>
      <c r="F85" s="237"/>
      <c r="G85" s="237"/>
      <c r="H85" s="237"/>
      <c r="I85" s="237"/>
      <c r="J85" s="237"/>
      <c r="K85" s="237"/>
      <c r="L85" s="237"/>
      <c r="M85" s="237"/>
      <c r="N85" s="237"/>
      <c r="O85" s="237"/>
      <c r="P85" s="237"/>
      <c r="Q85" s="237"/>
      <c r="R85" s="237"/>
      <c r="S85" s="237"/>
      <c r="T85" s="237"/>
      <c r="U85" s="237"/>
      <c r="V85" s="237"/>
      <c r="W85" s="46"/>
      <c r="Y85" s="141"/>
      <c r="Z85" s="141"/>
      <c r="AA85" s="141"/>
      <c r="AB85" s="141"/>
    </row>
    <row r="86" spans="1:28" ht="15" thickBot="1" x14ac:dyDescent="0.4">
      <c r="A86" s="309"/>
      <c r="B86" s="73"/>
      <c r="C86" s="74"/>
      <c r="D86" s="77"/>
      <c r="E86" s="77"/>
      <c r="F86" s="77"/>
      <c r="G86" s="77"/>
      <c r="H86" s="77"/>
      <c r="I86" s="77"/>
      <c r="J86" s="77"/>
      <c r="K86" s="77"/>
      <c r="L86" s="77"/>
      <c r="M86" s="77"/>
      <c r="N86" s="77"/>
      <c r="O86" s="77"/>
      <c r="P86" s="77"/>
      <c r="Q86" s="77"/>
      <c r="R86" s="77"/>
      <c r="S86" s="77"/>
      <c r="T86" s="77"/>
      <c r="U86" s="77"/>
      <c r="V86" s="77"/>
      <c r="W86" s="78"/>
      <c r="Y86" s="141"/>
      <c r="Z86" s="141"/>
      <c r="AA86" s="141"/>
      <c r="AB86" s="141"/>
    </row>
    <row r="87" spans="1:28" x14ac:dyDescent="0.35">
      <c r="A87" s="330" t="s">
        <v>91</v>
      </c>
      <c r="B87" s="65" t="s">
        <v>92</v>
      </c>
      <c r="C87" s="70"/>
      <c r="D87" s="237">
        <v>39.187146320000004</v>
      </c>
      <c r="E87" s="237">
        <v>39.767025029999999</v>
      </c>
      <c r="F87" s="237">
        <v>40.11931938</v>
      </c>
      <c r="G87" s="237">
        <v>40.513470599999998</v>
      </c>
      <c r="H87" s="237">
        <v>40.893591210000004</v>
      </c>
      <c r="I87" s="237">
        <v>41.10535763</v>
      </c>
      <c r="J87" s="237">
        <v>41.15765571</v>
      </c>
      <c r="K87" s="237">
        <v>41.79125286</v>
      </c>
      <c r="L87" s="237">
        <v>42.83426437</v>
      </c>
      <c r="M87" s="237">
        <v>43.734864139999999</v>
      </c>
      <c r="N87" s="237">
        <v>44.677431979999994</v>
      </c>
      <c r="O87" s="237">
        <v>45.463318159999993</v>
      </c>
      <c r="P87" s="237">
        <v>46.337992929999999</v>
      </c>
      <c r="Q87" s="237">
        <v>46.956281179999998</v>
      </c>
      <c r="R87" s="237">
        <v>47.306617700000004</v>
      </c>
      <c r="S87" s="237">
        <v>49.05395875</v>
      </c>
      <c r="T87" s="237">
        <v>49.466835719999999</v>
      </c>
      <c r="U87" s="237">
        <v>50.816292020000006</v>
      </c>
      <c r="V87" s="237">
        <v>51.921499829999995</v>
      </c>
      <c r="W87" s="46">
        <v>52.552145580000001</v>
      </c>
      <c r="X87">
        <f>W87</f>
        <v>52.552145580000001</v>
      </c>
      <c r="Y87" s="141"/>
      <c r="Z87" s="141"/>
      <c r="AA87" s="141"/>
      <c r="AB87" s="141"/>
    </row>
    <row r="88" spans="1:28" x14ac:dyDescent="0.35">
      <c r="A88" s="331"/>
      <c r="B88" s="65"/>
      <c r="C88" s="70"/>
      <c r="D88" s="237"/>
      <c r="E88" s="237"/>
      <c r="F88" s="237"/>
      <c r="G88" s="237"/>
      <c r="H88" s="237"/>
      <c r="I88" s="237"/>
      <c r="J88" s="237"/>
      <c r="K88" s="237"/>
      <c r="L88" s="237"/>
      <c r="M88" s="237"/>
      <c r="N88" s="237"/>
      <c r="O88" s="237"/>
      <c r="P88" s="237"/>
      <c r="Q88" s="237"/>
      <c r="R88" s="237"/>
      <c r="S88" s="237"/>
      <c r="T88" s="237"/>
      <c r="U88" s="237"/>
      <c r="V88" s="237"/>
      <c r="W88" s="46"/>
      <c r="Y88" s="141"/>
      <c r="Z88" s="141"/>
      <c r="AA88" s="141"/>
      <c r="AB88" s="141"/>
    </row>
    <row r="89" spans="1:28" x14ac:dyDescent="0.35">
      <c r="A89" s="331"/>
      <c r="B89"/>
      <c r="D89" s="237"/>
      <c r="W89" s="79"/>
      <c r="Y89" s="141"/>
      <c r="Z89" s="141"/>
      <c r="AA89" s="141"/>
      <c r="AB89" s="141"/>
    </row>
    <row r="90" spans="1:28" x14ac:dyDescent="0.35">
      <c r="A90" s="331"/>
      <c r="B90"/>
      <c r="D90" s="30"/>
      <c r="W90" s="79"/>
      <c r="Y90" s="141"/>
      <c r="Z90" s="141"/>
      <c r="AA90" s="141"/>
      <c r="AB90" s="141"/>
    </row>
    <row r="91" spans="1:28" x14ac:dyDescent="0.35">
      <c r="A91" s="331"/>
      <c r="B91" s="65" t="s">
        <v>93</v>
      </c>
      <c r="C91" s="70"/>
      <c r="D91" s="237">
        <v>0.90027051657042745</v>
      </c>
      <c r="E91" s="237">
        <v>0.79801547837450704</v>
      </c>
      <c r="F91" s="237">
        <v>0.82655085245178883</v>
      </c>
      <c r="G91" s="237">
        <v>0.85138518098932925</v>
      </c>
      <c r="H91" s="237">
        <v>0.8366292510284139</v>
      </c>
      <c r="I91" s="237">
        <v>0.80716069164927318</v>
      </c>
      <c r="J91" s="237">
        <v>0.80752602418582253</v>
      </c>
      <c r="K91" s="237">
        <v>0.81166711004135927</v>
      </c>
      <c r="L91" s="237">
        <v>0.78037299045852826</v>
      </c>
      <c r="M91" s="237">
        <v>0.82911402010110757</v>
      </c>
      <c r="N91" s="237">
        <v>0.83313086009771953</v>
      </c>
      <c r="O91" s="237">
        <v>0.85814876413716246</v>
      </c>
      <c r="P91" s="237">
        <v>0.86386471082450955</v>
      </c>
      <c r="Q91" s="237">
        <v>0.86526303059430332</v>
      </c>
      <c r="R91" s="237">
        <v>0.84703790158607561</v>
      </c>
      <c r="S91" s="237">
        <v>0.83542208549034458</v>
      </c>
      <c r="T91" s="237">
        <v>0.82357222899251714</v>
      </c>
      <c r="U91" s="237">
        <v>0.79926493232129492</v>
      </c>
      <c r="V91" s="237">
        <v>0.73498574117652027</v>
      </c>
      <c r="W91" s="46">
        <v>0.73028381574532342</v>
      </c>
      <c r="X91">
        <f t="shared" ref="X91:X132" si="5">W91</f>
        <v>0.73028381574532342</v>
      </c>
      <c r="Y91" s="141"/>
      <c r="Z91" s="141"/>
      <c r="AA91" s="141"/>
      <c r="AB91" s="141"/>
    </row>
    <row r="92" spans="1:28" x14ac:dyDescent="0.35">
      <c r="A92" s="331"/>
      <c r="B92" s="65" t="s">
        <v>94</v>
      </c>
      <c r="C92" s="70"/>
      <c r="D92" s="237">
        <v>0.26782295944824347</v>
      </c>
      <c r="E92" s="237">
        <v>0.2666572241731881</v>
      </c>
      <c r="F92" s="237">
        <v>0.26830320759173404</v>
      </c>
      <c r="G92" s="237">
        <v>0.27381318635211388</v>
      </c>
      <c r="H92" s="237">
        <v>0.27801964711607152</v>
      </c>
      <c r="I92" s="237">
        <v>0.30552058829314382</v>
      </c>
      <c r="J92" s="237">
        <v>0.30845101322725493</v>
      </c>
      <c r="K92" s="237">
        <v>0.30869336364830269</v>
      </c>
      <c r="L92" s="237">
        <v>0.31604759393825299</v>
      </c>
      <c r="M92" s="237">
        <v>0.31760571304542445</v>
      </c>
      <c r="N92" s="237">
        <v>0.31705352904069145</v>
      </c>
      <c r="O92" s="237">
        <v>0.32400262321308471</v>
      </c>
      <c r="P92" s="237">
        <v>0.32796421608654469</v>
      </c>
      <c r="Q92" s="237">
        <v>0.32862834898119897</v>
      </c>
      <c r="R92" s="237">
        <v>0.33360975902069723</v>
      </c>
      <c r="S92" s="237">
        <v>0.33515156771473248</v>
      </c>
      <c r="T92" s="237">
        <v>0.32433564394115982</v>
      </c>
      <c r="U92" s="237">
        <v>0.32476042746440104</v>
      </c>
      <c r="V92" s="237">
        <v>0.31797643498814804</v>
      </c>
      <c r="W92" s="46">
        <v>0.33154405356432026</v>
      </c>
      <c r="X92">
        <f t="shared" si="5"/>
        <v>0.33154405356432026</v>
      </c>
      <c r="Y92" s="141"/>
      <c r="Z92" s="141"/>
      <c r="AA92" s="141"/>
      <c r="AB92" s="141"/>
    </row>
    <row r="93" spans="1:28" x14ac:dyDescent="0.35">
      <c r="A93" s="331"/>
      <c r="B93" s="65" t="s">
        <v>95</v>
      </c>
      <c r="C93" s="70"/>
      <c r="D93" s="237">
        <v>0.34818197812029744</v>
      </c>
      <c r="E93" s="237">
        <v>0.30658370588876055</v>
      </c>
      <c r="F93" s="237">
        <v>0.29071150494278963</v>
      </c>
      <c r="G93" s="237">
        <v>0.27992388078634095</v>
      </c>
      <c r="H93" s="237">
        <v>0.26893213161949509</v>
      </c>
      <c r="I93" s="237">
        <v>0.29162613324351172</v>
      </c>
      <c r="J93" s="237">
        <v>0.29242955417479993</v>
      </c>
      <c r="K93" s="237">
        <v>0.28938147080726301</v>
      </c>
      <c r="L93" s="237">
        <v>0.28142737745033541</v>
      </c>
      <c r="M93" s="237">
        <v>0.27495237777396736</v>
      </c>
      <c r="N93" s="237">
        <v>0.26980106264673176</v>
      </c>
      <c r="O93" s="237">
        <v>0.28718557592022093</v>
      </c>
      <c r="P93" s="237">
        <v>0.27965735655873114</v>
      </c>
      <c r="Q93" s="237">
        <v>0.27111578206520942</v>
      </c>
      <c r="R93" s="237">
        <v>0.26852977690961327</v>
      </c>
      <c r="S93" s="237">
        <v>0.26853864364145363</v>
      </c>
      <c r="T93" s="237">
        <v>0.26936552781846224</v>
      </c>
      <c r="U93" s="237">
        <v>0.26897430848954873</v>
      </c>
      <c r="V93" s="237">
        <v>0.27004646141898336</v>
      </c>
      <c r="W93" s="46">
        <v>0.28437263486396069</v>
      </c>
      <c r="X93">
        <f t="shared" si="5"/>
        <v>0.28437263486396069</v>
      </c>
      <c r="Y93" s="141"/>
      <c r="Z93" s="141"/>
      <c r="AA93" s="141"/>
      <c r="AB93" s="141"/>
    </row>
    <row r="94" spans="1:28" x14ac:dyDescent="0.35">
      <c r="A94" s="331"/>
      <c r="B94" s="65" t="s">
        <v>96</v>
      </c>
      <c r="C94" s="70"/>
      <c r="D94" s="237">
        <v>0.83472761950185292</v>
      </c>
      <c r="E94" s="237">
        <v>0.79391704088469706</v>
      </c>
      <c r="F94" s="237">
        <v>0.80753296570407362</v>
      </c>
      <c r="G94" s="237">
        <v>0.79856494219047935</v>
      </c>
      <c r="H94" s="237">
        <v>0.80536575413770439</v>
      </c>
      <c r="I94" s="237">
        <v>0.73373142616454401</v>
      </c>
      <c r="J94" s="237">
        <v>0.75358393687823633</v>
      </c>
      <c r="K94" s="237">
        <v>0.77998601169483717</v>
      </c>
      <c r="L94" s="237">
        <v>0.69841143160775998</v>
      </c>
      <c r="M94" s="237">
        <v>0.70519769572783308</v>
      </c>
      <c r="N94" s="237">
        <v>0.72277816757869218</v>
      </c>
      <c r="O94" s="237">
        <v>0.7195061580692983</v>
      </c>
      <c r="P94" s="237">
        <v>0.72939592731799707</v>
      </c>
      <c r="Q94" s="237">
        <v>0.73788410632843526</v>
      </c>
      <c r="R94" s="237">
        <v>0.73644234373962913</v>
      </c>
      <c r="S94" s="237">
        <v>0.70049377626752174</v>
      </c>
      <c r="T94" s="237">
        <v>0.71129189208272714</v>
      </c>
      <c r="U94" s="237">
        <v>0.66598588606535203</v>
      </c>
      <c r="V94" s="237">
        <v>0.70791781457507907</v>
      </c>
      <c r="W94" s="46">
        <v>0.71454853926064921</v>
      </c>
      <c r="X94">
        <f t="shared" si="5"/>
        <v>0.71454853926064921</v>
      </c>
      <c r="Y94" s="141"/>
      <c r="Z94" s="141"/>
      <c r="AA94" s="141"/>
      <c r="AB94" s="141"/>
    </row>
    <row r="95" spans="1:28" x14ac:dyDescent="0.35">
      <c r="A95" s="331"/>
      <c r="B95" s="65" t="s">
        <v>97</v>
      </c>
      <c r="C95" s="70"/>
      <c r="D95" s="237">
        <v>0.27203499999452552</v>
      </c>
      <c r="E95" s="237">
        <v>0.26306888518464144</v>
      </c>
      <c r="F95" s="237">
        <v>0.27545884097647594</v>
      </c>
      <c r="G95" s="237">
        <v>0.27891076827970718</v>
      </c>
      <c r="H95" s="237">
        <v>0.27789150432842147</v>
      </c>
      <c r="I95" s="237">
        <v>0.27881150074145433</v>
      </c>
      <c r="J95" s="237">
        <v>0.27529653704292867</v>
      </c>
      <c r="K95" s="237">
        <v>0.27518960645178592</v>
      </c>
      <c r="L95" s="237">
        <v>0.28277916069267756</v>
      </c>
      <c r="M95" s="237">
        <v>0.2832216768494038</v>
      </c>
      <c r="N95" s="237">
        <v>0.28426860282831179</v>
      </c>
      <c r="O95" s="237">
        <v>0.28068849559240433</v>
      </c>
      <c r="P95" s="237">
        <v>0.28915271943220666</v>
      </c>
      <c r="Q95" s="237">
        <v>0.30241506318388284</v>
      </c>
      <c r="R95" s="237">
        <v>0.30167536009026713</v>
      </c>
      <c r="S95" s="237">
        <v>0.29793486861348439</v>
      </c>
      <c r="T95" s="237">
        <v>0.29266262622170069</v>
      </c>
      <c r="U95" s="237">
        <v>0.29278659243706345</v>
      </c>
      <c r="V95" s="237">
        <v>0.29829300985708207</v>
      </c>
      <c r="W95" s="46">
        <v>0.30761772840986873</v>
      </c>
      <c r="X95">
        <f t="shared" si="5"/>
        <v>0.30761772840986873</v>
      </c>
      <c r="Y95" s="141"/>
      <c r="Z95" s="141"/>
      <c r="AA95" s="141"/>
      <c r="AB95" s="141"/>
    </row>
    <row r="96" spans="1:28" x14ac:dyDescent="0.35">
      <c r="A96" s="331"/>
      <c r="B96" s="65" t="s">
        <v>98</v>
      </c>
      <c r="C96" s="70"/>
      <c r="D96" s="237">
        <v>0.31110748223005136</v>
      </c>
      <c r="E96" s="237">
        <v>0.27146068584931377</v>
      </c>
      <c r="F96" s="237">
        <v>0.28005010704497513</v>
      </c>
      <c r="G96" s="237">
        <v>0.29081265863249289</v>
      </c>
      <c r="H96" s="237">
        <v>0.28312974923460782</v>
      </c>
      <c r="I96" s="237">
        <v>0.30852271504871565</v>
      </c>
      <c r="J96" s="237">
        <v>0.30629958279337455</v>
      </c>
      <c r="K96" s="237">
        <v>0.29925130651812981</v>
      </c>
      <c r="L96" s="237">
        <v>0.2780742636093701</v>
      </c>
      <c r="M96" s="237">
        <v>0.28296812908546859</v>
      </c>
      <c r="N96" s="237">
        <v>0.24566650306280705</v>
      </c>
      <c r="O96" s="237">
        <v>0.2406045127607476</v>
      </c>
      <c r="P96" s="237">
        <v>0.24386961785362679</v>
      </c>
      <c r="Q96" s="237">
        <v>0.25122846960658485</v>
      </c>
      <c r="R96" s="237">
        <v>0.26893068358948768</v>
      </c>
      <c r="S96" s="237">
        <v>0.27212307003403136</v>
      </c>
      <c r="T96" s="237">
        <v>0.26753189523710946</v>
      </c>
      <c r="U96" s="237">
        <v>0.26457200575785478</v>
      </c>
      <c r="V96" s="237">
        <v>0.24924363461171214</v>
      </c>
      <c r="W96" s="46">
        <v>0.25692298720979917</v>
      </c>
      <c r="X96">
        <f t="shared" si="5"/>
        <v>0.25692298720979917</v>
      </c>
      <c r="Y96" s="141"/>
      <c r="Z96" s="141"/>
      <c r="AA96" s="141"/>
      <c r="AB96" s="141"/>
    </row>
    <row r="97" spans="1:28" x14ac:dyDescent="0.35">
      <c r="A97" s="331"/>
      <c r="B97" s="65" t="s">
        <v>99</v>
      </c>
      <c r="C97" s="70"/>
      <c r="D97" s="237">
        <v>0.92374504244927702</v>
      </c>
      <c r="E97" s="237">
        <v>0.83635333349929997</v>
      </c>
      <c r="F97" s="237">
        <v>0.83185333921564508</v>
      </c>
      <c r="G97" s="237">
        <v>0.83437750976444869</v>
      </c>
      <c r="H97" s="237">
        <v>0.84490374877858054</v>
      </c>
      <c r="I97" s="237">
        <v>0.81347003484152636</v>
      </c>
      <c r="J97" s="237">
        <v>0.83150910581755866</v>
      </c>
      <c r="K97" s="237">
        <v>0.80364774733166633</v>
      </c>
      <c r="L97" s="237">
        <v>0.81996261566631345</v>
      </c>
      <c r="M97" s="237">
        <v>0.82013914717633118</v>
      </c>
      <c r="N97" s="237">
        <v>0.830453125951232</v>
      </c>
      <c r="O97" s="237">
        <v>0.85100305751138627</v>
      </c>
      <c r="P97" s="237">
        <v>0.85343137005432157</v>
      </c>
      <c r="Q97" s="237">
        <v>0.85271142983099379</v>
      </c>
      <c r="R97" s="237">
        <v>0.83082030860183176</v>
      </c>
      <c r="S97" s="237">
        <v>0.83128874514196982</v>
      </c>
      <c r="T97" s="237">
        <v>0.831416361961128</v>
      </c>
      <c r="U97" s="237">
        <v>0.83719182627431132</v>
      </c>
      <c r="V97" s="237">
        <v>0.81772486278928336</v>
      </c>
      <c r="W97" s="46">
        <v>0.78669706422246466</v>
      </c>
      <c r="X97">
        <f t="shared" si="5"/>
        <v>0.78669706422246466</v>
      </c>
      <c r="Y97" s="141"/>
      <c r="Z97" s="141"/>
      <c r="AA97" s="141"/>
      <c r="AB97" s="141"/>
    </row>
    <row r="98" spans="1:28" x14ac:dyDescent="0.35">
      <c r="A98" s="331"/>
      <c r="B98" s="65" t="s">
        <v>100</v>
      </c>
      <c r="C98" s="70"/>
      <c r="D98" s="237">
        <v>0.3605926738806412</v>
      </c>
      <c r="E98" s="237">
        <v>0.33483336102887828</v>
      </c>
      <c r="F98" s="237">
        <v>0.34664764983043439</v>
      </c>
      <c r="G98" s="237">
        <v>0.35312993395873782</v>
      </c>
      <c r="H98" s="237">
        <v>0.29737398934546155</v>
      </c>
      <c r="I98" s="237">
        <v>0.31012580512156696</v>
      </c>
      <c r="J98" s="237">
        <v>0.32513162171457316</v>
      </c>
      <c r="K98" s="237">
        <v>0.34184245041539479</v>
      </c>
      <c r="L98" s="237">
        <v>0.32837626354703658</v>
      </c>
      <c r="M98" s="237">
        <v>0.31172847731284714</v>
      </c>
      <c r="N98" s="237">
        <v>0.30438653224080414</v>
      </c>
      <c r="O98" s="237">
        <v>0.29767818828797493</v>
      </c>
      <c r="P98" s="237">
        <v>0.29991121932366999</v>
      </c>
      <c r="Q98" s="237">
        <v>0.29937648312294463</v>
      </c>
      <c r="R98" s="237">
        <v>0.30003259801926102</v>
      </c>
      <c r="S98" s="237">
        <v>0.29242527982890654</v>
      </c>
      <c r="T98" s="237">
        <v>0.28935790043948489</v>
      </c>
      <c r="U98" s="237">
        <v>0.29758405532679544</v>
      </c>
      <c r="V98" s="237">
        <v>0.31072881072292541</v>
      </c>
      <c r="W98" s="46">
        <v>0.32993276951104356</v>
      </c>
      <c r="X98">
        <f t="shared" si="5"/>
        <v>0.32993276951104356</v>
      </c>
      <c r="Y98" s="141"/>
      <c r="Z98" s="141"/>
      <c r="AA98" s="141"/>
      <c r="AB98" s="141"/>
    </row>
    <row r="99" spans="1:28" x14ac:dyDescent="0.35">
      <c r="A99" s="331"/>
      <c r="B99" s="65" t="s">
        <v>101</v>
      </c>
      <c r="C99" s="70"/>
      <c r="D99" s="237">
        <v>0.35834168735805161</v>
      </c>
      <c r="E99" s="237">
        <v>0.38646043220083809</v>
      </c>
      <c r="F99" s="237">
        <v>0.34270011314285959</v>
      </c>
      <c r="G99" s="237">
        <v>0.34260924250538061</v>
      </c>
      <c r="H99" s="237">
        <v>0.25599853627334779</v>
      </c>
      <c r="I99" s="237">
        <v>0.27189087245527377</v>
      </c>
      <c r="J99" s="237">
        <v>0.30978899425880957</v>
      </c>
      <c r="K99" s="237">
        <v>0.26224278854629668</v>
      </c>
      <c r="L99" s="237">
        <v>0.24249576844589016</v>
      </c>
      <c r="M99" s="237">
        <v>0.28143517297559978</v>
      </c>
      <c r="N99" s="237">
        <v>0.29350979736335797</v>
      </c>
      <c r="O99" s="237">
        <v>0.31696173434707681</v>
      </c>
      <c r="P99" s="237">
        <v>0.32313190295530048</v>
      </c>
      <c r="Q99" s="237">
        <v>0.32732942509102475</v>
      </c>
      <c r="R99" s="237">
        <v>0.35200693929315841</v>
      </c>
      <c r="S99" s="237">
        <v>0.31166079425216436</v>
      </c>
      <c r="T99" s="237">
        <v>0.27911794088613717</v>
      </c>
      <c r="U99" s="237">
        <v>0.26613174359788516</v>
      </c>
      <c r="V99" s="237">
        <v>0.27197080023843734</v>
      </c>
      <c r="W99" s="46">
        <v>0.25805294634437231</v>
      </c>
      <c r="X99">
        <f t="shared" si="5"/>
        <v>0.25805294634437231</v>
      </c>
      <c r="Y99" s="141"/>
      <c r="Z99" s="141"/>
      <c r="AA99" s="141"/>
      <c r="AB99" s="141"/>
    </row>
    <row r="100" spans="1:28" x14ac:dyDescent="0.35">
      <c r="A100" s="331"/>
      <c r="B100" s="65" t="s">
        <v>102</v>
      </c>
      <c r="C100" s="70"/>
      <c r="D100" s="237">
        <v>2.1227642400000004</v>
      </c>
      <c r="E100" s="237">
        <v>2.1262310400000004</v>
      </c>
      <c r="F100" s="237">
        <v>2.1231064699999997</v>
      </c>
      <c r="G100" s="237">
        <v>2.1130467299999998</v>
      </c>
      <c r="H100" s="237">
        <v>2.1735677999999998</v>
      </c>
      <c r="I100" s="237">
        <v>2.1882282499999999</v>
      </c>
      <c r="J100" s="237">
        <v>2.2560478000000002</v>
      </c>
      <c r="K100" s="237">
        <v>2.3403727099999996</v>
      </c>
      <c r="L100" s="237">
        <v>2.4201021199999997</v>
      </c>
      <c r="M100" s="237">
        <v>2.5440667299999999</v>
      </c>
      <c r="N100" s="237">
        <v>2.6353135999999999</v>
      </c>
      <c r="O100" s="237">
        <v>2.7016235600000007</v>
      </c>
      <c r="P100" s="237">
        <v>2.83974232</v>
      </c>
      <c r="Q100" s="237">
        <v>2.86682404</v>
      </c>
      <c r="R100" s="237">
        <v>2.78902384</v>
      </c>
      <c r="S100" s="237">
        <v>2.9260466200000002</v>
      </c>
      <c r="T100" s="237">
        <v>3.0703874300000003</v>
      </c>
      <c r="U100" s="237">
        <v>3.5232924299999997</v>
      </c>
      <c r="V100" s="237">
        <v>3.4736966899999997</v>
      </c>
      <c r="W100" s="46">
        <v>3.4703146300000003</v>
      </c>
      <c r="X100">
        <f t="shared" si="5"/>
        <v>3.4703146300000003</v>
      </c>
      <c r="Y100" s="141"/>
      <c r="Z100" s="141"/>
      <c r="AA100" s="141"/>
      <c r="AB100" s="141"/>
    </row>
    <row r="101" spans="1:28" x14ac:dyDescent="0.35">
      <c r="A101" s="331"/>
      <c r="B101" s="65" t="s">
        <v>103</v>
      </c>
      <c r="C101" s="70"/>
      <c r="D101" s="237">
        <v>0.22106789999999998</v>
      </c>
      <c r="E101" s="237">
        <v>0.23877885999999998</v>
      </c>
      <c r="F101" s="237">
        <v>0.22058298000000001</v>
      </c>
      <c r="G101" s="237">
        <v>0.19908861999999999</v>
      </c>
      <c r="H101" s="237">
        <v>0.17753217000000002</v>
      </c>
      <c r="I101" s="237">
        <v>0.16850551</v>
      </c>
      <c r="J101" s="237">
        <v>0.18371079999999998</v>
      </c>
      <c r="K101" s="237">
        <v>0.19475629</v>
      </c>
      <c r="L101" s="237">
        <v>0.19557074999999999</v>
      </c>
      <c r="M101" s="237">
        <v>0.17127541000000002</v>
      </c>
      <c r="N101" s="237">
        <v>0.15939892999999999</v>
      </c>
      <c r="O101" s="237">
        <v>0.18059229999999998</v>
      </c>
      <c r="P101" s="237">
        <v>0.18713521999999999</v>
      </c>
      <c r="Q101" s="237">
        <v>0.17082507999999999</v>
      </c>
      <c r="R101" s="237">
        <v>0.15967739</v>
      </c>
      <c r="S101" s="237">
        <v>0.17991989999999999</v>
      </c>
      <c r="T101" s="237">
        <v>0.17048650000000001</v>
      </c>
      <c r="U101" s="237">
        <v>0.15029598999999999</v>
      </c>
      <c r="V101" s="237">
        <v>0.13919226000000001</v>
      </c>
      <c r="W101" s="46">
        <v>0.13753595999999998</v>
      </c>
      <c r="X101">
        <f t="shared" si="5"/>
        <v>0.13753595999999998</v>
      </c>
      <c r="Y101" s="141"/>
      <c r="Z101" s="141"/>
      <c r="AA101" s="141"/>
      <c r="AB101" s="141"/>
    </row>
    <row r="102" spans="1:28" x14ac:dyDescent="0.35">
      <c r="A102" s="331"/>
      <c r="B102" s="65"/>
      <c r="C102" s="70"/>
      <c r="D102" s="237"/>
      <c r="E102" s="237"/>
      <c r="F102" s="237"/>
      <c r="G102" s="237"/>
      <c r="H102" s="237"/>
      <c r="I102" s="237"/>
      <c r="J102" s="237"/>
      <c r="K102" s="237"/>
      <c r="L102" s="237"/>
      <c r="M102" s="237"/>
      <c r="N102" s="237"/>
      <c r="O102" s="237"/>
      <c r="P102" s="237"/>
      <c r="Q102" s="237"/>
      <c r="R102" s="237"/>
      <c r="S102" s="237"/>
      <c r="T102" s="237"/>
      <c r="U102" s="237"/>
      <c r="V102" s="237"/>
      <c r="W102" s="46"/>
      <c r="Y102" s="225"/>
      <c r="Z102" s="141"/>
      <c r="AA102" s="141"/>
      <c r="AB102" s="141"/>
    </row>
    <row r="103" spans="1:28" x14ac:dyDescent="0.35">
      <c r="A103" s="331"/>
      <c r="B103" s="224"/>
      <c r="D103" s="106"/>
      <c r="E103" s="237"/>
      <c r="F103" s="237"/>
      <c r="G103" s="237"/>
      <c r="H103" s="237"/>
      <c r="I103" s="237"/>
      <c r="J103" s="237"/>
      <c r="K103" s="237"/>
      <c r="L103" s="237"/>
      <c r="M103" s="237"/>
      <c r="N103" s="237"/>
      <c r="O103" s="237"/>
      <c r="P103" s="237"/>
      <c r="Q103" s="237"/>
      <c r="R103" s="237"/>
      <c r="S103" s="237"/>
      <c r="T103" s="237"/>
      <c r="U103" s="237"/>
      <c r="V103" s="237"/>
      <c r="W103" s="46"/>
      <c r="Y103" s="225"/>
      <c r="Z103" s="141"/>
      <c r="AA103" s="141"/>
      <c r="AB103" s="141"/>
    </row>
    <row r="104" spans="1:28" x14ac:dyDescent="0.35">
      <c r="A104" s="331"/>
      <c r="B104"/>
      <c r="D104" s="30"/>
      <c r="E104" s="237"/>
      <c r="F104" s="237"/>
      <c r="G104" s="237"/>
      <c r="H104" s="237"/>
      <c r="I104" s="237"/>
      <c r="J104" s="237"/>
      <c r="K104" s="237"/>
      <c r="L104" s="237"/>
      <c r="M104" s="237"/>
      <c r="N104" s="237"/>
      <c r="O104" s="237"/>
      <c r="P104" s="237"/>
      <c r="Q104" s="237"/>
      <c r="R104" s="237"/>
      <c r="S104" s="237"/>
      <c r="T104" s="237"/>
      <c r="U104" s="237"/>
      <c r="V104" s="237"/>
      <c r="W104" s="46"/>
      <c r="AB104" s="141"/>
    </row>
    <row r="105" spans="1:28" x14ac:dyDescent="0.35">
      <c r="A105" s="331"/>
      <c r="B105" s="65" t="s">
        <v>104</v>
      </c>
      <c r="C105" s="70"/>
      <c r="D105" s="237">
        <v>45.992316199999998</v>
      </c>
      <c r="E105" s="237">
        <v>48.557000000000002</v>
      </c>
      <c r="F105" s="237">
        <v>49.265000000000001</v>
      </c>
      <c r="G105" s="237">
        <v>50.612000000000002</v>
      </c>
      <c r="H105" s="237">
        <v>51.030999999999999</v>
      </c>
      <c r="I105" s="237">
        <v>54.597000000000001</v>
      </c>
      <c r="J105" s="237">
        <v>56.273000000000003</v>
      </c>
      <c r="K105" s="237">
        <v>57.725999999999999</v>
      </c>
      <c r="L105" s="237">
        <v>61.743000000000002</v>
      </c>
      <c r="M105" s="237">
        <v>64.855000000000004</v>
      </c>
      <c r="N105" s="237">
        <v>68.08</v>
      </c>
      <c r="O105" s="237">
        <v>71.867000000000004</v>
      </c>
      <c r="P105" s="237">
        <v>76.052999999999997</v>
      </c>
      <c r="Q105" s="237">
        <v>75.400999999999996</v>
      </c>
      <c r="R105" s="237">
        <v>74.588999999999999</v>
      </c>
      <c r="S105" s="237">
        <v>78.796000000000006</v>
      </c>
      <c r="T105" s="237">
        <v>82.870999999999995</v>
      </c>
      <c r="U105" s="237">
        <v>82.852999999999994</v>
      </c>
      <c r="V105" s="237">
        <v>85.869</v>
      </c>
      <c r="W105" s="46">
        <v>86.718000000000004</v>
      </c>
      <c r="X105">
        <f t="shared" si="5"/>
        <v>86.718000000000004</v>
      </c>
      <c r="Y105" s="141"/>
      <c r="Z105" s="141"/>
      <c r="AA105" s="141"/>
      <c r="AB105" s="141"/>
    </row>
    <row r="106" spans="1:28" x14ac:dyDescent="0.35">
      <c r="A106" s="331"/>
      <c r="B106" s="65" t="s">
        <v>105</v>
      </c>
      <c r="C106" s="70"/>
      <c r="D106" s="237">
        <v>6.8661011399999996</v>
      </c>
      <c r="E106" s="237">
        <v>7.157</v>
      </c>
      <c r="F106" s="237">
        <v>6.6210000000000004</v>
      </c>
      <c r="G106" s="237">
        <v>6.2770000000000001</v>
      </c>
      <c r="H106" s="237">
        <v>6.2549999999999999</v>
      </c>
      <c r="I106" s="237">
        <v>6.7649999999999997</v>
      </c>
      <c r="J106" s="237">
        <v>6.5369999999999999</v>
      </c>
      <c r="K106" s="237">
        <v>6.65</v>
      </c>
      <c r="L106" s="237">
        <v>7.2279999999999998</v>
      </c>
      <c r="M106" s="237">
        <v>7.0490000000000004</v>
      </c>
      <c r="N106" s="237">
        <v>7.298</v>
      </c>
      <c r="O106" s="237">
        <v>7.67</v>
      </c>
      <c r="P106" s="237">
        <v>7.36</v>
      </c>
      <c r="Q106" s="237">
        <v>7.3090000000000002</v>
      </c>
      <c r="R106" s="237">
        <v>6.5670000000000002</v>
      </c>
      <c r="S106" s="237">
        <v>6.9219999999999997</v>
      </c>
      <c r="T106" s="237">
        <v>6.9509999999999996</v>
      </c>
      <c r="U106" s="237">
        <v>6.8970000000000002</v>
      </c>
      <c r="V106" s="237">
        <v>6.8090000000000002</v>
      </c>
      <c r="W106" s="46">
        <v>6.3390000000000004</v>
      </c>
      <c r="X106">
        <f t="shared" si="5"/>
        <v>6.3390000000000004</v>
      </c>
      <c r="Y106" s="141"/>
      <c r="Z106" s="141"/>
      <c r="AA106" s="141"/>
      <c r="AB106" s="141"/>
    </row>
    <row r="107" spans="1:28" x14ac:dyDescent="0.35">
      <c r="A107" s="331"/>
      <c r="B107" s="65" t="s">
        <v>106</v>
      </c>
      <c r="C107" s="70"/>
      <c r="D107" s="237">
        <v>2.3988809500000001</v>
      </c>
      <c r="E107" s="237">
        <v>2.3690000000000002</v>
      </c>
      <c r="F107" s="237">
        <v>2.3090000000000002</v>
      </c>
      <c r="G107" s="237">
        <v>2.2370000000000001</v>
      </c>
      <c r="H107" s="237">
        <v>2.3159999999999998</v>
      </c>
      <c r="I107" s="237">
        <v>2.7650000000000001</v>
      </c>
      <c r="J107" s="237">
        <v>2.7970000000000002</v>
      </c>
      <c r="K107" s="237">
        <v>2.8079999999999998</v>
      </c>
      <c r="L107" s="237">
        <v>3.2650000000000001</v>
      </c>
      <c r="M107" s="237">
        <v>3.3460000000000001</v>
      </c>
      <c r="N107" s="237">
        <v>3.7240000000000002</v>
      </c>
      <c r="O107" s="237">
        <v>3.9390000000000001</v>
      </c>
      <c r="P107" s="237">
        <v>4.1360000000000001</v>
      </c>
      <c r="Q107" s="237">
        <v>3.96</v>
      </c>
      <c r="R107" s="237">
        <v>3.9510000000000001</v>
      </c>
      <c r="S107" s="237">
        <v>4.5019999999999998</v>
      </c>
      <c r="T107" s="237">
        <v>4.7</v>
      </c>
      <c r="U107" s="237">
        <v>5.4429999999999996</v>
      </c>
      <c r="V107" s="237">
        <v>5.2240000000000002</v>
      </c>
      <c r="W107" s="46">
        <v>5.0209999999999999</v>
      </c>
      <c r="X107">
        <f t="shared" si="5"/>
        <v>5.0209999999999999</v>
      </c>
      <c r="Y107" s="141"/>
      <c r="Z107" s="141"/>
      <c r="AA107" s="141"/>
      <c r="AB107" s="141"/>
    </row>
    <row r="108" spans="1:28" x14ac:dyDescent="0.35">
      <c r="A108" s="331"/>
      <c r="B108" s="65" t="s">
        <v>107</v>
      </c>
      <c r="C108" s="70"/>
      <c r="D108" s="237">
        <v>12.912704270000001</v>
      </c>
      <c r="E108" s="237">
        <v>13.451452310000001</v>
      </c>
      <c r="F108" s="237">
        <v>14.39230377</v>
      </c>
      <c r="G108" s="237">
        <v>15.6005989</v>
      </c>
      <c r="H108" s="237">
        <v>16.70930053</v>
      </c>
      <c r="I108" s="237">
        <v>17.753620560000002</v>
      </c>
      <c r="J108" s="237">
        <v>18.770840249999999</v>
      </c>
      <c r="K108" s="237">
        <v>19.962068970000001</v>
      </c>
      <c r="L108" s="237">
        <v>20.526970259999999</v>
      </c>
      <c r="M108" s="237">
        <v>22.09406967</v>
      </c>
      <c r="N108" s="237">
        <v>23.60089258</v>
      </c>
      <c r="O108" s="237">
        <v>25.268787970000002</v>
      </c>
      <c r="P108" s="237">
        <v>27.031001790000001</v>
      </c>
      <c r="Q108" s="237">
        <v>28.0720165</v>
      </c>
      <c r="R108" s="237">
        <v>28.696140960000001</v>
      </c>
      <c r="S108" s="237">
        <v>31.261790420000001</v>
      </c>
      <c r="T108" s="237">
        <v>31.322899029999999</v>
      </c>
      <c r="U108" s="237">
        <v>32.963429439999999</v>
      </c>
      <c r="V108" s="237">
        <v>32.178090269999998</v>
      </c>
      <c r="W108" s="46">
        <v>33.032571089999998</v>
      </c>
      <c r="X108">
        <f t="shared" si="5"/>
        <v>33.032571089999998</v>
      </c>
      <c r="Y108" s="141"/>
      <c r="Z108" s="141"/>
      <c r="AA108" s="141"/>
      <c r="AB108" s="141"/>
    </row>
    <row r="109" spans="1:28" x14ac:dyDescent="0.35">
      <c r="A109" s="331"/>
      <c r="B109" s="65" t="s">
        <v>108</v>
      </c>
      <c r="C109" s="70"/>
      <c r="D109" s="237">
        <v>10.332575569999999</v>
      </c>
      <c r="E109" s="237">
        <v>10.67989242</v>
      </c>
      <c r="F109" s="237">
        <v>10.84886144</v>
      </c>
      <c r="G109" s="237">
        <v>10.689629760000001</v>
      </c>
      <c r="H109" s="237">
        <v>11.0816629</v>
      </c>
      <c r="I109" s="237">
        <v>10.496399759999999</v>
      </c>
      <c r="J109" s="237">
        <v>10.91461632</v>
      </c>
      <c r="K109" s="237">
        <v>11.436563489999999</v>
      </c>
      <c r="L109" s="237">
        <v>12.05679544</v>
      </c>
      <c r="M109" s="237">
        <v>12.550136889999999</v>
      </c>
      <c r="N109" s="237">
        <v>13.00794104</v>
      </c>
      <c r="O109" s="237">
        <v>12.97521867</v>
      </c>
      <c r="P109" s="237">
        <v>13.303132079999999</v>
      </c>
      <c r="Q109" s="237">
        <v>13.29276894</v>
      </c>
      <c r="R109" s="237">
        <v>12.60497732</v>
      </c>
      <c r="S109" s="237">
        <v>13.916266070000001</v>
      </c>
      <c r="T109" s="237">
        <v>14.35718883</v>
      </c>
      <c r="U109" s="237">
        <v>14.7060233</v>
      </c>
      <c r="V109" s="237">
        <v>14.93825247</v>
      </c>
      <c r="W109" s="46">
        <v>14.20298496</v>
      </c>
      <c r="X109">
        <f t="shared" si="5"/>
        <v>14.20298496</v>
      </c>
      <c r="Y109" s="141"/>
      <c r="Z109" s="141"/>
      <c r="AA109" s="141"/>
      <c r="AB109" s="141"/>
    </row>
    <row r="110" spans="1:28" x14ac:dyDescent="0.35">
      <c r="A110" s="331"/>
      <c r="B110" s="65" t="s">
        <v>109</v>
      </c>
      <c r="C110" s="70"/>
      <c r="D110" s="237">
        <v>4.4536318000000001</v>
      </c>
      <c r="E110" s="237">
        <v>4.5590000000000002</v>
      </c>
      <c r="F110" s="237">
        <v>4.4649999999999999</v>
      </c>
      <c r="G110" s="237">
        <v>4.383</v>
      </c>
      <c r="H110" s="237">
        <v>4.6500000000000004</v>
      </c>
      <c r="I110" s="237">
        <v>4.55</v>
      </c>
      <c r="J110" s="237">
        <v>4.5869999999999997</v>
      </c>
      <c r="K110" s="237">
        <v>4.532</v>
      </c>
      <c r="L110" s="237">
        <v>4.84</v>
      </c>
      <c r="M110" s="237">
        <v>4.5979999999999999</v>
      </c>
      <c r="N110" s="237">
        <v>4.4400000000000004</v>
      </c>
      <c r="O110" s="237">
        <v>4.41</v>
      </c>
      <c r="P110" s="237">
        <v>4.1840000000000002</v>
      </c>
      <c r="Q110" s="237">
        <v>4.032</v>
      </c>
      <c r="R110" s="237">
        <v>3.9209999999999998</v>
      </c>
      <c r="S110" s="237">
        <v>4.2409999999999997</v>
      </c>
      <c r="T110" s="237">
        <v>4.4210000000000003</v>
      </c>
      <c r="U110" s="237">
        <v>4.4169999999999998</v>
      </c>
      <c r="V110" s="237">
        <v>3.9460000000000002</v>
      </c>
      <c r="W110" s="46">
        <v>3.7610000000000001</v>
      </c>
      <c r="X110">
        <f t="shared" si="5"/>
        <v>3.7610000000000001</v>
      </c>
      <c r="Y110" s="141"/>
      <c r="Z110" s="141"/>
      <c r="AA110" s="141"/>
      <c r="AB110" s="141"/>
    </row>
    <row r="111" spans="1:28" x14ac:dyDescent="0.35">
      <c r="A111" s="331"/>
      <c r="B111" s="65" t="s">
        <v>110</v>
      </c>
      <c r="C111" s="70"/>
      <c r="D111" s="237">
        <v>11.29650142</v>
      </c>
      <c r="E111" s="237">
        <v>11.096</v>
      </c>
      <c r="F111" s="237">
        <v>11.734</v>
      </c>
      <c r="G111" s="237">
        <v>11.792999999999999</v>
      </c>
      <c r="H111" s="237">
        <v>11.045</v>
      </c>
      <c r="I111" s="237">
        <v>10.920999999999999</v>
      </c>
      <c r="J111" s="237">
        <v>10.704000000000001</v>
      </c>
      <c r="K111" s="237">
        <v>10.439</v>
      </c>
      <c r="L111" s="237">
        <v>10.435</v>
      </c>
      <c r="M111" s="237">
        <v>10.58</v>
      </c>
      <c r="N111" s="237">
        <v>10.595000000000001</v>
      </c>
      <c r="O111" s="237">
        <v>9.7759999999999998</v>
      </c>
      <c r="P111" s="237">
        <v>10.022</v>
      </c>
      <c r="Q111" s="237">
        <v>9.7140000000000004</v>
      </c>
      <c r="R111" s="237">
        <v>9.5020000000000007</v>
      </c>
      <c r="S111" s="237">
        <v>9.4870000000000001</v>
      </c>
      <c r="T111" s="237">
        <v>10.39</v>
      </c>
      <c r="U111" s="237">
        <v>11.044</v>
      </c>
      <c r="V111" s="237">
        <v>10.722</v>
      </c>
      <c r="W111" s="46">
        <v>10.154</v>
      </c>
      <c r="X111">
        <f t="shared" si="5"/>
        <v>10.154</v>
      </c>
      <c r="Y111" s="141"/>
      <c r="Z111" s="141"/>
      <c r="AA111" s="141"/>
      <c r="AB111" s="141"/>
    </row>
    <row r="112" spans="1:28" x14ac:dyDescent="0.35">
      <c r="A112" s="331"/>
      <c r="B112" s="65" t="s">
        <v>111</v>
      </c>
      <c r="C112" s="70"/>
      <c r="D112" s="237">
        <v>1.7570074099999999</v>
      </c>
      <c r="E112" s="237">
        <v>1.8169999999999999</v>
      </c>
      <c r="F112" s="237">
        <v>1.742</v>
      </c>
      <c r="G112" s="237">
        <v>1.7170000000000001</v>
      </c>
      <c r="H112" s="237">
        <v>1.8160000000000001</v>
      </c>
      <c r="I112" s="237">
        <v>1.5580000000000001</v>
      </c>
      <c r="J112" s="237">
        <v>1.34</v>
      </c>
      <c r="K112" s="237">
        <v>1.413</v>
      </c>
      <c r="L112" s="237">
        <v>1.508</v>
      </c>
      <c r="M112" s="237">
        <v>1.486</v>
      </c>
      <c r="N112" s="237">
        <v>1.427</v>
      </c>
      <c r="O112" s="237">
        <v>1.425</v>
      </c>
      <c r="P112" s="237">
        <v>1.234</v>
      </c>
      <c r="Q112" s="237">
        <v>1.1000000000000001</v>
      </c>
      <c r="R112" s="237">
        <v>1.0920000000000001</v>
      </c>
      <c r="S112" s="237">
        <v>0.95</v>
      </c>
      <c r="T112" s="237">
        <v>1.0940000000000001</v>
      </c>
      <c r="U112" s="237">
        <v>1.081</v>
      </c>
      <c r="V112" s="237">
        <v>0.70299999999999996</v>
      </c>
      <c r="W112" s="46">
        <v>0.71499999999999997</v>
      </c>
      <c r="X112">
        <f t="shared" si="5"/>
        <v>0.71499999999999997</v>
      </c>
      <c r="Y112" s="141"/>
      <c r="Z112" s="141"/>
      <c r="AA112" s="141"/>
      <c r="AB112" s="141"/>
    </row>
    <row r="113" spans="1:28" ht="15" thickBot="1" x14ac:dyDescent="0.4">
      <c r="A113" s="331"/>
      <c r="B113" s="73" t="s">
        <v>112</v>
      </c>
      <c r="C113" s="74"/>
      <c r="D113" s="77">
        <v>1.4177061200000001</v>
      </c>
      <c r="E113" s="77">
        <v>1.2909999999999999</v>
      </c>
      <c r="F113" s="77">
        <v>0.96599999999999997</v>
      </c>
      <c r="G113" s="77">
        <v>1.119</v>
      </c>
      <c r="H113" s="77">
        <v>1.008</v>
      </c>
      <c r="I113" s="77">
        <v>0.90500000000000003</v>
      </c>
      <c r="J113" s="77">
        <v>0.89900000000000002</v>
      </c>
      <c r="K113" s="77">
        <v>0.81299999999999994</v>
      </c>
      <c r="L113" s="77">
        <v>0.79400000000000004</v>
      </c>
      <c r="M113" s="77">
        <v>0.7</v>
      </c>
      <c r="N113" s="77">
        <v>0.66</v>
      </c>
      <c r="O113" s="77">
        <v>0.60799999999999998</v>
      </c>
      <c r="P113" s="77">
        <v>0.56399999999999995</v>
      </c>
      <c r="Q113" s="77">
        <v>0.53300000000000003</v>
      </c>
      <c r="R113" s="77">
        <v>0.56200000000000006</v>
      </c>
      <c r="S113" s="77">
        <v>0.65800000000000003</v>
      </c>
      <c r="T113" s="77">
        <v>0.60699999999999998</v>
      </c>
      <c r="U113" s="77">
        <v>0.58499999999999996</v>
      </c>
      <c r="V113" s="77">
        <v>0.55600000000000005</v>
      </c>
      <c r="W113" s="78">
        <v>0.58099999999999996</v>
      </c>
      <c r="X113">
        <f t="shared" si="5"/>
        <v>0.58099999999999996</v>
      </c>
      <c r="Y113" s="141"/>
      <c r="Z113" s="141"/>
      <c r="AA113" s="141"/>
      <c r="AB113" s="141"/>
    </row>
    <row r="114" spans="1:28" x14ac:dyDescent="0.35">
      <c r="A114" s="331"/>
      <c r="B114"/>
      <c r="C114" s="30"/>
      <c r="Y114" s="141"/>
      <c r="Z114" s="141"/>
      <c r="AA114" s="141"/>
      <c r="AB114" s="141"/>
    </row>
    <row r="115" spans="1:28" x14ac:dyDescent="0.35">
      <c r="A115" s="331"/>
      <c r="B115" s="65"/>
      <c r="C115" s="9"/>
      <c r="D115" s="237"/>
      <c r="E115" s="237"/>
      <c r="F115" s="237"/>
      <c r="G115" s="237"/>
      <c r="H115" s="237"/>
      <c r="I115" s="237"/>
      <c r="J115" s="237"/>
      <c r="K115" s="237"/>
      <c r="L115" s="237"/>
      <c r="M115" s="237"/>
      <c r="N115" s="237"/>
      <c r="O115" s="237"/>
      <c r="P115" s="237"/>
      <c r="Q115" s="237"/>
      <c r="R115" s="237"/>
      <c r="S115" s="237"/>
      <c r="T115" s="237"/>
      <c r="U115" s="237"/>
      <c r="V115" s="237"/>
      <c r="W115" s="237"/>
      <c r="Y115" s="141"/>
      <c r="Z115" s="141"/>
      <c r="AA115" s="141"/>
      <c r="AB115" s="141"/>
    </row>
    <row r="116" spans="1:28" x14ac:dyDescent="0.35">
      <c r="A116" s="331"/>
      <c r="B116" s="81"/>
      <c r="C116" s="9"/>
      <c r="D116" s="237"/>
      <c r="E116" s="237"/>
      <c r="F116" s="237"/>
      <c r="G116" s="237"/>
      <c r="H116" s="237"/>
      <c r="I116" s="237"/>
      <c r="J116" s="237"/>
      <c r="K116" s="237"/>
      <c r="L116" s="237"/>
      <c r="M116" s="237"/>
      <c r="N116" s="237"/>
      <c r="O116" s="237"/>
      <c r="P116" s="237"/>
      <c r="Q116" s="237"/>
      <c r="R116" s="237"/>
      <c r="S116" s="237"/>
      <c r="T116" s="237"/>
      <c r="U116" s="237"/>
      <c r="V116" s="237"/>
      <c r="W116" s="237"/>
      <c r="Y116" s="141"/>
      <c r="Z116" s="141"/>
      <c r="AA116" s="141"/>
      <c r="AB116" s="141"/>
    </row>
    <row r="117" spans="1:28" ht="19" thickBot="1" x14ac:dyDescent="0.5">
      <c r="A117" s="82"/>
      <c r="B117"/>
      <c r="C117" s="30"/>
      <c r="Y117" s="141"/>
      <c r="Z117" s="141"/>
      <c r="AA117" s="141"/>
      <c r="AB117" s="141"/>
    </row>
    <row r="118" spans="1:28" x14ac:dyDescent="0.35">
      <c r="A118" s="308" t="s">
        <v>113</v>
      </c>
      <c r="B118" s="65" t="s">
        <v>114</v>
      </c>
      <c r="C118" s="70"/>
      <c r="D118" s="237">
        <v>0.17460000000000001</v>
      </c>
      <c r="E118" s="237">
        <v>0.17549999999999999</v>
      </c>
      <c r="F118" s="237">
        <v>0.1701</v>
      </c>
      <c r="G118" s="237">
        <v>0.1694</v>
      </c>
      <c r="H118" s="237">
        <v>0.17050000000000001</v>
      </c>
      <c r="I118" s="237">
        <v>0.16669999999999999</v>
      </c>
      <c r="J118" s="237">
        <v>0.16819999999999999</v>
      </c>
      <c r="K118" s="237">
        <v>0.1633</v>
      </c>
      <c r="L118" s="237">
        <v>0.156</v>
      </c>
      <c r="M118" s="237">
        <v>0.15490000000000001</v>
      </c>
      <c r="N118" s="237">
        <v>0.15010000000000001</v>
      </c>
      <c r="O118" s="237">
        <v>0.14580000000000001</v>
      </c>
      <c r="P118" s="237">
        <v>0.1361</v>
      </c>
      <c r="Q118" s="237">
        <v>0.13420000000000001</v>
      </c>
      <c r="R118" s="237">
        <v>0.1328</v>
      </c>
      <c r="S118" s="237">
        <v>0.12740000000000001</v>
      </c>
      <c r="T118" s="237">
        <v>0.11559999999999999</v>
      </c>
      <c r="U118" s="237">
        <v>0.1076</v>
      </c>
      <c r="V118" s="237">
        <v>0.1053</v>
      </c>
      <c r="W118" s="46">
        <v>0.1057</v>
      </c>
      <c r="X118">
        <f t="shared" si="5"/>
        <v>0.1057</v>
      </c>
      <c r="Y118" s="141"/>
      <c r="Z118" s="141"/>
      <c r="AA118" s="141"/>
      <c r="AB118" s="141"/>
    </row>
    <row r="119" spans="1:28" x14ac:dyDescent="0.35">
      <c r="A119" s="309"/>
      <c r="B119" s="65" t="s">
        <v>115</v>
      </c>
      <c r="C119" s="70"/>
      <c r="D119" s="237">
        <v>0.19739999999999999</v>
      </c>
      <c r="E119" s="237">
        <v>0.19420000000000001</v>
      </c>
      <c r="F119" s="237">
        <v>0.193</v>
      </c>
      <c r="G119" s="237">
        <v>0.18959999999999999</v>
      </c>
      <c r="H119" s="237">
        <v>0.18579999999999999</v>
      </c>
      <c r="I119" s="237">
        <v>0.1825</v>
      </c>
      <c r="J119" s="237">
        <v>0.17780000000000001</v>
      </c>
      <c r="K119" s="237">
        <v>0.1769</v>
      </c>
      <c r="L119" s="237">
        <v>0.17269999999999999</v>
      </c>
      <c r="M119" s="237">
        <v>0.17699999999999999</v>
      </c>
      <c r="N119" s="237">
        <v>0.17849999999999999</v>
      </c>
      <c r="O119" s="237">
        <v>0.18</v>
      </c>
      <c r="P119" s="237">
        <v>0.17760000000000001</v>
      </c>
      <c r="Q119" s="237">
        <v>0.18429999999999999</v>
      </c>
      <c r="R119" s="237">
        <v>0.19189999999999999</v>
      </c>
      <c r="S119" s="237">
        <v>0.19439999999999999</v>
      </c>
      <c r="T119" s="237">
        <v>0.19800000000000001</v>
      </c>
      <c r="U119" s="237">
        <v>0.2074</v>
      </c>
      <c r="V119" s="237">
        <v>0.21510000000000001</v>
      </c>
      <c r="W119" s="46">
        <v>0.2218</v>
      </c>
      <c r="X119">
        <f t="shared" si="5"/>
        <v>0.2218</v>
      </c>
      <c r="Y119" s="141"/>
      <c r="Z119" s="141"/>
      <c r="AA119" s="141"/>
      <c r="AB119" s="141"/>
    </row>
    <row r="120" spans="1:28" x14ac:dyDescent="0.35">
      <c r="A120" s="309"/>
      <c r="B120" s="65" t="s">
        <v>116</v>
      </c>
      <c r="C120" s="70"/>
      <c r="D120" s="237">
        <v>9.6000000000000002E-2</v>
      </c>
      <c r="E120" s="237">
        <v>9.6500000000000002E-2</v>
      </c>
      <c r="F120" s="237">
        <v>0.1043</v>
      </c>
      <c r="G120" s="237">
        <v>0.111</v>
      </c>
      <c r="H120" s="237">
        <v>0.1188</v>
      </c>
      <c r="I120" s="237">
        <v>0.12230000000000001</v>
      </c>
      <c r="J120" s="237">
        <v>0.12820000000000001</v>
      </c>
      <c r="K120" s="237">
        <v>0.13300000000000001</v>
      </c>
      <c r="L120" s="237">
        <v>0.13350000000000001</v>
      </c>
      <c r="M120" s="237">
        <v>0.13900000000000001</v>
      </c>
      <c r="N120" s="237">
        <v>0.14219999999999999</v>
      </c>
      <c r="O120" s="237">
        <v>0.1469</v>
      </c>
      <c r="P120" s="237">
        <v>0.1542</v>
      </c>
      <c r="Q120" s="237">
        <v>0.15909999999999999</v>
      </c>
      <c r="R120" s="237">
        <v>0.16400000000000001</v>
      </c>
      <c r="S120" s="237">
        <v>0.1673</v>
      </c>
      <c r="T120" s="237">
        <v>0.16520000000000001</v>
      </c>
      <c r="U120" s="237">
        <v>0.16919999999999999</v>
      </c>
      <c r="V120" s="237">
        <v>0.16289999999999999</v>
      </c>
      <c r="W120" s="46">
        <v>0.16539999999999999</v>
      </c>
      <c r="X120">
        <f t="shared" si="5"/>
        <v>0.16539999999999999</v>
      </c>
      <c r="Y120" s="141"/>
      <c r="Z120" s="141"/>
      <c r="AA120" s="141"/>
      <c r="AB120" s="141"/>
    </row>
    <row r="121" spans="1:28" x14ac:dyDescent="0.35">
      <c r="A121" s="309"/>
      <c r="B121" s="65" t="s">
        <v>117</v>
      </c>
      <c r="C121" s="70"/>
      <c r="D121" s="237">
        <v>0.3322</v>
      </c>
      <c r="E121" s="237">
        <v>0.33879999999999999</v>
      </c>
      <c r="F121" s="237">
        <v>0.34179999999999999</v>
      </c>
      <c r="G121" s="237">
        <v>0.34229999999999999</v>
      </c>
      <c r="H121" s="237">
        <v>0.34139999999999998</v>
      </c>
      <c r="I121" s="237">
        <v>0.35</v>
      </c>
      <c r="J121" s="237">
        <v>0.34949999999999998</v>
      </c>
      <c r="K121" s="237">
        <v>0.35339999999999999</v>
      </c>
      <c r="L121" s="237">
        <v>0.36170000000000002</v>
      </c>
      <c r="M121" s="237">
        <v>0.3594</v>
      </c>
      <c r="N121" s="237">
        <v>0.36420000000000002</v>
      </c>
      <c r="O121" s="237">
        <v>0.37069999999999997</v>
      </c>
      <c r="P121" s="237">
        <v>0.37859999999999999</v>
      </c>
      <c r="Q121" s="237">
        <v>0.37269999999999998</v>
      </c>
      <c r="R121" s="237">
        <v>0.36959999999999998</v>
      </c>
      <c r="S121" s="237">
        <v>0.37159999999999999</v>
      </c>
      <c r="T121" s="237">
        <v>0.38169999999999998</v>
      </c>
      <c r="U121" s="237">
        <v>0.37530000000000002</v>
      </c>
      <c r="V121" s="237">
        <v>0.38369999999999999</v>
      </c>
      <c r="W121" s="46">
        <v>0.38</v>
      </c>
      <c r="X121">
        <f t="shared" si="5"/>
        <v>0.38</v>
      </c>
      <c r="Y121" s="141"/>
      <c r="Z121" s="141"/>
      <c r="AA121" s="141"/>
      <c r="AB121" s="141"/>
    </row>
    <row r="122" spans="1:28" x14ac:dyDescent="0.35">
      <c r="A122" s="309"/>
      <c r="B122" s="65" t="s">
        <v>118</v>
      </c>
      <c r="C122" s="70"/>
      <c r="D122" s="237">
        <v>8.2600000000000007E-2</v>
      </c>
      <c r="E122" s="237">
        <v>7.9600000000000004E-2</v>
      </c>
      <c r="F122" s="237">
        <v>7.8E-2</v>
      </c>
      <c r="G122" s="237">
        <v>7.9100000000000004E-2</v>
      </c>
      <c r="H122" s="237">
        <v>7.6200000000000004E-2</v>
      </c>
      <c r="I122" s="237">
        <v>7.1900000000000006E-2</v>
      </c>
      <c r="J122" s="237">
        <v>6.8699999999999997E-2</v>
      </c>
      <c r="K122" s="237">
        <v>6.5500000000000003E-2</v>
      </c>
      <c r="L122" s="237">
        <v>6.3399999999999998E-2</v>
      </c>
      <c r="M122" s="237">
        <v>6.0199999999999997E-2</v>
      </c>
      <c r="N122" s="237">
        <v>5.7299999999999997E-2</v>
      </c>
      <c r="O122" s="237">
        <v>5.0700000000000002E-2</v>
      </c>
      <c r="P122" s="237">
        <v>5.0700000000000002E-2</v>
      </c>
      <c r="Q122" s="237">
        <v>4.7699999999999999E-2</v>
      </c>
      <c r="R122" s="237">
        <v>4.4299999999999999E-2</v>
      </c>
      <c r="S122" s="237">
        <v>4.1799999999999997E-2</v>
      </c>
      <c r="T122" s="237">
        <v>4.4900000000000002E-2</v>
      </c>
      <c r="U122" s="237">
        <v>4.6399999999999997E-2</v>
      </c>
      <c r="V122" s="237">
        <v>4.2999999999999997E-2</v>
      </c>
      <c r="W122" s="46">
        <v>3.9899999999999998E-2</v>
      </c>
      <c r="X122">
        <f t="shared" si="5"/>
        <v>3.9899999999999998E-2</v>
      </c>
      <c r="Y122" s="141"/>
      <c r="Z122" s="141"/>
      <c r="AA122" s="141"/>
      <c r="AB122" s="141"/>
    </row>
    <row r="123" spans="1:28" x14ac:dyDescent="0.35">
      <c r="A123" s="309"/>
      <c r="B123" s="65" t="s">
        <v>119</v>
      </c>
      <c r="C123" s="70"/>
      <c r="D123" s="237">
        <v>0.1128</v>
      </c>
      <c r="E123" s="237">
        <v>0.1114</v>
      </c>
      <c r="F123" s="237">
        <v>0.1086</v>
      </c>
      <c r="G123" s="237">
        <v>0.1045</v>
      </c>
      <c r="H123" s="237">
        <v>0.10290000000000001</v>
      </c>
      <c r="I123" s="237">
        <v>0.1022</v>
      </c>
      <c r="J123" s="237">
        <v>0.1033</v>
      </c>
      <c r="K123" s="237">
        <v>0.10340000000000001</v>
      </c>
      <c r="L123" s="237">
        <v>0.1079</v>
      </c>
      <c r="M123" s="237">
        <v>0.1046</v>
      </c>
      <c r="N123" s="237">
        <v>0.10249999999999999</v>
      </c>
      <c r="O123" s="237">
        <v>0.10050000000000001</v>
      </c>
      <c r="P123" s="237">
        <v>9.7100000000000006E-2</v>
      </c>
      <c r="Q123" s="237">
        <v>9.6100000000000005E-2</v>
      </c>
      <c r="R123" s="237">
        <v>9.0899999999999995E-2</v>
      </c>
      <c r="S123" s="237">
        <v>9.0499999999999997E-2</v>
      </c>
      <c r="T123" s="237">
        <v>8.7499999999999994E-2</v>
      </c>
      <c r="U123" s="237">
        <v>8.6300000000000002E-2</v>
      </c>
      <c r="V123" s="237">
        <v>8.1900000000000001E-2</v>
      </c>
      <c r="W123" s="46">
        <v>7.8799999999999995E-2</v>
      </c>
      <c r="X123">
        <f t="shared" si="5"/>
        <v>7.8799999999999995E-2</v>
      </c>
      <c r="Y123" s="141"/>
      <c r="Z123" s="141"/>
      <c r="AA123" s="141"/>
      <c r="AB123" s="141"/>
    </row>
    <row r="124" spans="1:28" x14ac:dyDescent="0.35">
      <c r="A124" s="309"/>
      <c r="B124" s="65" t="s">
        <v>120</v>
      </c>
      <c r="C124" s="70"/>
      <c r="D124" s="237">
        <v>4.3E-3</v>
      </c>
      <c r="E124" s="237">
        <v>3.8999999999999998E-3</v>
      </c>
      <c r="F124" s="237">
        <v>4.1999999999999997E-3</v>
      </c>
      <c r="G124" s="237">
        <v>4.1999999999999997E-3</v>
      </c>
      <c r="H124" s="237">
        <v>4.4999999999999997E-3</v>
      </c>
      <c r="I124" s="237">
        <v>4.3E-3</v>
      </c>
      <c r="J124" s="237">
        <v>4.3E-3</v>
      </c>
      <c r="K124" s="237">
        <v>4.4999999999999997E-3</v>
      </c>
      <c r="L124" s="237">
        <v>4.7999999999999996E-3</v>
      </c>
      <c r="M124" s="237">
        <v>4.8999999999999998E-3</v>
      </c>
      <c r="N124" s="237">
        <v>5.1000000000000004E-3</v>
      </c>
      <c r="O124" s="237">
        <v>5.4000000000000003E-3</v>
      </c>
      <c r="P124" s="237">
        <v>5.5999999999999999E-3</v>
      </c>
      <c r="Q124" s="237">
        <v>5.8999999999999999E-3</v>
      </c>
      <c r="R124" s="237">
        <v>6.4999999999999997E-3</v>
      </c>
      <c r="S124" s="237">
        <v>7.0000000000000001E-3</v>
      </c>
      <c r="T124" s="237">
        <v>7.1999999999999998E-3</v>
      </c>
      <c r="U124" s="237">
        <v>7.7999999999999996E-3</v>
      </c>
      <c r="V124" s="237">
        <v>8.0000000000000002E-3</v>
      </c>
      <c r="W124" s="46">
        <v>8.3000000000000001E-3</v>
      </c>
      <c r="X124">
        <f t="shared" si="5"/>
        <v>8.3000000000000001E-3</v>
      </c>
      <c r="Y124" s="141"/>
      <c r="Z124" s="141"/>
      <c r="AA124" s="141"/>
      <c r="AB124" s="141"/>
    </row>
    <row r="125" spans="1:28" ht="19" thickBot="1" x14ac:dyDescent="0.5">
      <c r="A125" s="82"/>
      <c r="B125"/>
      <c r="C125" s="30"/>
      <c r="Y125" s="141"/>
      <c r="Z125" s="141"/>
      <c r="AA125" s="141"/>
      <c r="AB125" s="141"/>
    </row>
    <row r="126" spans="1:28" x14ac:dyDescent="0.35">
      <c r="A126" s="308" t="s">
        <v>121</v>
      </c>
      <c r="B126" s="65" t="s">
        <v>122</v>
      </c>
      <c r="C126" s="70"/>
      <c r="D126" s="237">
        <v>1.4672470000000001E-3</v>
      </c>
      <c r="E126" s="237">
        <v>1.7933720000000001E-3</v>
      </c>
      <c r="F126" s="237">
        <v>1.6997850000000001E-3</v>
      </c>
      <c r="G126" s="237">
        <v>1.5532600000000001E-3</v>
      </c>
      <c r="H126" s="237">
        <v>1.6258360000000001E-3</v>
      </c>
      <c r="I126" s="237">
        <v>1.5607069999999999E-3</v>
      </c>
      <c r="J126" s="237">
        <v>1.7714269999999999E-3</v>
      </c>
      <c r="K126" s="237">
        <v>1.7515670000000001E-3</v>
      </c>
      <c r="L126" s="237">
        <v>1.722431E-3</v>
      </c>
      <c r="M126" s="237">
        <v>1.7769109999999999E-3</v>
      </c>
      <c r="N126" s="237">
        <v>1.537023E-3</v>
      </c>
      <c r="O126" s="237">
        <v>1.612582E-3</v>
      </c>
      <c r="P126" s="237">
        <v>2.1150420000000001E-3</v>
      </c>
      <c r="Q126" s="237">
        <v>2.0712809999999999E-3</v>
      </c>
      <c r="R126" s="237">
        <v>2.1520609999999998E-3</v>
      </c>
      <c r="S126" s="237">
        <v>1.9379930000000001E-3</v>
      </c>
      <c r="T126" s="237">
        <v>1.9152209999999999E-3</v>
      </c>
      <c r="U126" s="237">
        <v>1.8831169999999999E-3</v>
      </c>
      <c r="V126" s="237">
        <v>1.9490810000000001E-3</v>
      </c>
      <c r="W126" s="46">
        <v>1.914596E-3</v>
      </c>
      <c r="X126">
        <f t="shared" si="5"/>
        <v>1.914596E-3</v>
      </c>
      <c r="Y126" s="141"/>
      <c r="Z126" s="141"/>
      <c r="AA126" s="141"/>
      <c r="AB126" s="141"/>
    </row>
    <row r="127" spans="1:28" x14ac:dyDescent="0.35">
      <c r="A127" s="309"/>
      <c r="B127" s="65" t="s">
        <v>123</v>
      </c>
      <c r="C127" s="70"/>
      <c r="D127" s="237">
        <v>0.26567738899999999</v>
      </c>
      <c r="E127" s="237">
        <v>0.25589201700000003</v>
      </c>
      <c r="F127" s="237">
        <v>0.27309829099999999</v>
      </c>
      <c r="G127" s="237">
        <v>0.281041979</v>
      </c>
      <c r="H127" s="237">
        <v>0.29260193899999998</v>
      </c>
      <c r="I127" s="237">
        <v>0.26999289700000001</v>
      </c>
      <c r="J127" s="237">
        <v>0.26767203299999998</v>
      </c>
      <c r="K127" s="237">
        <v>0.26748652499999998</v>
      </c>
      <c r="L127" s="237">
        <v>0.26835206700000003</v>
      </c>
      <c r="M127" s="237">
        <v>0.26645119099999998</v>
      </c>
      <c r="N127" s="237">
        <v>0.249871066</v>
      </c>
      <c r="O127" s="237">
        <v>0.24046250299999999</v>
      </c>
      <c r="P127" s="237">
        <v>0.230559824</v>
      </c>
      <c r="Q127" s="237">
        <v>0.22633556899999999</v>
      </c>
      <c r="R127" s="237">
        <v>0.22389501000000001</v>
      </c>
      <c r="S127" s="237">
        <v>0.21936705300000001</v>
      </c>
      <c r="T127" s="237">
        <v>0.22108198700000001</v>
      </c>
      <c r="U127" s="237">
        <v>0.21441705899999999</v>
      </c>
      <c r="V127" s="237">
        <v>0.18115089100000001</v>
      </c>
      <c r="W127" s="46">
        <v>0.174354169</v>
      </c>
      <c r="X127">
        <f t="shared" si="5"/>
        <v>0.174354169</v>
      </c>
      <c r="Y127" s="141"/>
      <c r="Z127" s="141"/>
      <c r="AA127" s="141"/>
      <c r="AB127" s="141"/>
    </row>
    <row r="128" spans="1:28" x14ac:dyDescent="0.35">
      <c r="A128" s="309"/>
      <c r="B128" s="65" t="s">
        <v>124</v>
      </c>
      <c r="C128" s="70"/>
      <c r="D128" s="237">
        <v>0.149438446</v>
      </c>
      <c r="E128" s="237">
        <v>0.153211456</v>
      </c>
      <c r="F128" s="237">
        <v>0.158328472</v>
      </c>
      <c r="G128" s="237">
        <v>0.15220192199999999</v>
      </c>
      <c r="H128" s="237">
        <v>0.15969275099999999</v>
      </c>
      <c r="I128" s="237">
        <v>0.16987122499999999</v>
      </c>
      <c r="J128" s="237">
        <v>0.173951402</v>
      </c>
      <c r="K128" s="237">
        <v>0.179353927</v>
      </c>
      <c r="L128" s="237">
        <v>0.18244661500000001</v>
      </c>
      <c r="M128" s="237">
        <v>0.187789231</v>
      </c>
      <c r="N128" s="237">
        <v>0.208850958</v>
      </c>
      <c r="O128" s="237">
        <v>0.215670113</v>
      </c>
      <c r="P128" s="237">
        <v>0.22760903499999999</v>
      </c>
      <c r="Q128" s="237">
        <v>0.229360061</v>
      </c>
      <c r="R128" s="237">
        <v>0.23614875900000001</v>
      </c>
      <c r="S128" s="237">
        <v>0.24003749199999999</v>
      </c>
      <c r="T128" s="237">
        <v>0.24859925199999999</v>
      </c>
      <c r="U128" s="237">
        <v>0.26211609299999999</v>
      </c>
      <c r="V128" s="237">
        <v>0.282901391</v>
      </c>
      <c r="W128" s="46">
        <v>0.28206616899999998</v>
      </c>
      <c r="X128">
        <f t="shared" si="5"/>
        <v>0.28206616899999998</v>
      </c>
      <c r="Y128" s="141"/>
      <c r="Z128" s="141"/>
      <c r="AA128" s="141"/>
      <c r="AB128" s="141"/>
    </row>
    <row r="129" spans="1:28" x14ac:dyDescent="0.35">
      <c r="A129" s="309"/>
      <c r="B129" s="65" t="s">
        <v>125</v>
      </c>
      <c r="C129" s="70"/>
      <c r="D129" s="237">
        <v>9.4214548999999995E-2</v>
      </c>
      <c r="E129" s="237">
        <v>8.4933005000000006E-2</v>
      </c>
      <c r="F129" s="237">
        <v>6.621254E-2</v>
      </c>
      <c r="G129" s="237">
        <v>7.7426769000000006E-2</v>
      </c>
      <c r="H129" s="237">
        <v>7.0781898999999995E-2</v>
      </c>
      <c r="I129" s="237">
        <v>6.0117212000000003E-2</v>
      </c>
      <c r="J129" s="237">
        <v>6.0282593000000002E-2</v>
      </c>
      <c r="K129" s="237">
        <v>5.2420883000000001E-2</v>
      </c>
      <c r="L129" s="237">
        <v>5.1037592999999999E-2</v>
      </c>
      <c r="M129" s="237">
        <v>4.4430359000000003E-2</v>
      </c>
      <c r="N129" s="237">
        <v>4.1036800999999998E-2</v>
      </c>
      <c r="O129" s="237">
        <v>3.7232358E-2</v>
      </c>
      <c r="P129" s="237">
        <v>3.5203275999999999E-2</v>
      </c>
      <c r="Q129" s="237">
        <v>3.3972392999999997E-2</v>
      </c>
      <c r="R129" s="237">
        <v>3.5764826E-2</v>
      </c>
      <c r="S129" s="237">
        <v>3.8734288999999998E-2</v>
      </c>
      <c r="T129" s="237">
        <v>3.4822367999999999E-2</v>
      </c>
      <c r="U129" s="237">
        <v>3.3117250000000001E-2</v>
      </c>
      <c r="V129" s="237">
        <v>3.2143982000000001E-2</v>
      </c>
      <c r="W129" s="46">
        <v>3.3053978999999997E-2</v>
      </c>
      <c r="X129">
        <f t="shared" si="5"/>
        <v>3.3053978999999997E-2</v>
      </c>
      <c r="Y129" s="141"/>
      <c r="Z129" s="141"/>
      <c r="AA129" s="141"/>
      <c r="AB129" s="141"/>
    </row>
    <row r="130" spans="1:28" x14ac:dyDescent="0.35">
      <c r="A130" s="309"/>
      <c r="B130" s="65" t="s">
        <v>126</v>
      </c>
      <c r="C130" s="70"/>
      <c r="D130" s="237">
        <v>1.0911371E-2</v>
      </c>
      <c r="E130" s="237">
        <v>1.1618286E-2</v>
      </c>
      <c r="F130" s="237">
        <v>1.1440809E-2</v>
      </c>
      <c r="G130" s="237">
        <v>1.1591344999999999E-2</v>
      </c>
      <c r="H130" s="237">
        <v>1.3006854999999999E-2</v>
      </c>
      <c r="I130" s="237">
        <v>1.2420881E-2</v>
      </c>
      <c r="J130" s="237">
        <v>1.3177454999999999E-2</v>
      </c>
      <c r="K130" s="237">
        <v>1.3471765E-2</v>
      </c>
      <c r="L130" s="237">
        <v>1.3733987E-2</v>
      </c>
      <c r="M130" s="237">
        <v>1.4226124E-2</v>
      </c>
      <c r="N130" s="237">
        <v>1.484072E-2</v>
      </c>
      <c r="O130" s="237">
        <v>1.5011933999999999E-2</v>
      </c>
      <c r="P130" s="237">
        <v>1.5603809999999999E-2</v>
      </c>
      <c r="Q130" s="237">
        <v>1.6078662000000001E-2</v>
      </c>
      <c r="R130" s="237">
        <v>1.7549775E-2</v>
      </c>
      <c r="S130" s="237">
        <v>1.7892274E-2</v>
      </c>
      <c r="T130" s="237">
        <v>1.6498840000000001E-2</v>
      </c>
      <c r="U130" s="237">
        <v>1.7476516000000001E-2</v>
      </c>
      <c r="V130" s="237">
        <v>1.8336710999999999E-2</v>
      </c>
      <c r="W130" s="46">
        <v>1.8998007000000001E-2</v>
      </c>
      <c r="X130">
        <f t="shared" si="5"/>
        <v>1.8998007000000001E-2</v>
      </c>
      <c r="Y130" s="141"/>
      <c r="Z130" s="141"/>
      <c r="AA130" s="141"/>
      <c r="AB130" s="141"/>
    </row>
    <row r="131" spans="1:28" x14ac:dyDescent="0.35">
      <c r="A131" s="309"/>
      <c r="B131" s="65" t="s">
        <v>127</v>
      </c>
      <c r="C131" s="70"/>
      <c r="D131" s="237">
        <v>0.46658467300000001</v>
      </c>
      <c r="E131" s="237">
        <v>0.476257133</v>
      </c>
      <c r="F131" s="237">
        <v>0.47201437499999999</v>
      </c>
      <c r="G131" s="237">
        <v>0.45773555999999999</v>
      </c>
      <c r="H131" s="237">
        <v>0.44457521</v>
      </c>
      <c r="I131" s="237">
        <v>0.467371814</v>
      </c>
      <c r="J131" s="237">
        <v>0.46474410999999999</v>
      </c>
      <c r="K131" s="237">
        <v>0.46625571900000001</v>
      </c>
      <c r="L131" s="237">
        <v>0.461610666</v>
      </c>
      <c r="M131" s="237">
        <v>0.46407206299999998</v>
      </c>
      <c r="N131" s="237">
        <v>0.434192087</v>
      </c>
      <c r="O131" s="237">
        <v>0.43938153600000002</v>
      </c>
      <c r="P131" s="237">
        <v>0.43780839900000001</v>
      </c>
      <c r="Q131" s="237">
        <v>0.440720844</v>
      </c>
      <c r="R131" s="237">
        <v>0.43262676999999999</v>
      </c>
      <c r="S131" s="237">
        <v>0.42549685500000001</v>
      </c>
      <c r="T131" s="237">
        <v>0.42142732599999999</v>
      </c>
      <c r="U131" s="237">
        <v>0.41296049699999998</v>
      </c>
      <c r="V131" s="237">
        <v>0.419782763</v>
      </c>
      <c r="W131" s="46">
        <v>0.42253407700000001</v>
      </c>
      <c r="X131">
        <f t="shared" si="5"/>
        <v>0.42253407700000001</v>
      </c>
      <c r="Y131" s="141"/>
      <c r="Z131" s="141"/>
      <c r="AA131" s="141"/>
      <c r="AB131" s="141"/>
    </row>
    <row r="132" spans="1:28" x14ac:dyDescent="0.35">
      <c r="A132" s="309"/>
      <c r="B132" s="65" t="s">
        <v>128</v>
      </c>
      <c r="C132" s="70"/>
      <c r="D132" s="237">
        <v>7.3886819999999997E-3</v>
      </c>
      <c r="E132" s="237">
        <v>1.2521189E-2</v>
      </c>
      <c r="F132" s="237">
        <v>1.2854714999999999E-2</v>
      </c>
      <c r="G132" s="237">
        <v>1.3195454000000001E-2</v>
      </c>
      <c r="H132" s="237">
        <v>1.1547294E-2</v>
      </c>
      <c r="I132" s="237">
        <v>1.1753827E-2</v>
      </c>
      <c r="J132" s="237">
        <v>1.158899E-2</v>
      </c>
      <c r="K132" s="237">
        <v>1.2564891E-2</v>
      </c>
      <c r="L132" s="237">
        <v>1.4253632E-2</v>
      </c>
      <c r="M132" s="237">
        <v>1.4147948E-2</v>
      </c>
      <c r="N132" s="237">
        <v>1.4746481000000001E-2</v>
      </c>
      <c r="O132" s="237">
        <v>1.6142734999999998E-2</v>
      </c>
      <c r="P132" s="237">
        <v>1.8131825000000001E-2</v>
      </c>
      <c r="Q132" s="237">
        <v>1.9864843E-2</v>
      </c>
      <c r="R132" s="237">
        <v>2.1452480999999999E-2</v>
      </c>
      <c r="S132" s="237">
        <v>2.3580793999999999E-2</v>
      </c>
      <c r="T132" s="237">
        <v>2.3474058999999999E-2</v>
      </c>
      <c r="U132" s="237">
        <v>2.5863852999999999E-2</v>
      </c>
      <c r="V132" s="237">
        <v>2.8955449000000001E-2</v>
      </c>
      <c r="W132" s="46">
        <v>3.0543603999999999E-2</v>
      </c>
      <c r="X132">
        <f t="shared" si="5"/>
        <v>3.0543603999999999E-2</v>
      </c>
      <c r="Y132" s="141"/>
      <c r="Z132" s="141"/>
      <c r="AA132" s="141"/>
      <c r="AB132" s="141"/>
    </row>
    <row r="133" spans="1:28" x14ac:dyDescent="0.35">
      <c r="A133" s="83"/>
      <c r="H133" s="141"/>
      <c r="I133" s="141"/>
      <c r="J133" s="141"/>
      <c r="K133" s="141"/>
      <c r="L133" s="141"/>
      <c r="M133" s="141"/>
      <c r="N133" s="141"/>
      <c r="O133" s="141"/>
      <c r="P133" s="141"/>
      <c r="Q133" s="141"/>
      <c r="R133" s="141"/>
      <c r="S133" s="141"/>
      <c r="T133" s="141"/>
      <c r="U133" s="141"/>
      <c r="V133" s="141"/>
      <c r="W133" s="141"/>
      <c r="X133" s="141"/>
      <c r="Y133" s="141"/>
      <c r="Z133" s="141"/>
      <c r="AA133" s="141"/>
      <c r="AB133" s="141"/>
    </row>
    <row r="134" spans="1:28" ht="15" thickBot="1" x14ac:dyDescent="0.4">
      <c r="A134" s="83"/>
      <c r="H134" s="141"/>
      <c r="I134" s="141"/>
      <c r="J134" s="141"/>
      <c r="K134" s="141"/>
      <c r="L134" s="141"/>
      <c r="M134" s="141"/>
      <c r="N134" s="141"/>
      <c r="O134" s="141"/>
      <c r="P134" s="141"/>
      <c r="Q134" s="141"/>
      <c r="R134" s="141"/>
      <c r="S134" s="141"/>
      <c r="T134" s="141"/>
      <c r="U134" s="141"/>
      <c r="V134" s="141"/>
      <c r="W134" s="141"/>
      <c r="X134" s="141"/>
      <c r="Y134" s="141"/>
      <c r="Z134" s="141"/>
      <c r="AA134" s="141"/>
      <c r="AB134" s="141"/>
    </row>
    <row r="135" spans="1:28" ht="15" thickBot="1" x14ac:dyDescent="0.4">
      <c r="A135" s="332" t="s">
        <v>129</v>
      </c>
      <c r="B135" s="333"/>
      <c r="C135" s="334"/>
      <c r="H135" s="141"/>
      <c r="I135" s="141"/>
      <c r="J135" s="141"/>
      <c r="K135" s="141"/>
      <c r="L135" s="141"/>
      <c r="M135" s="141"/>
      <c r="N135" s="141"/>
      <c r="O135" s="141"/>
      <c r="P135" s="141"/>
      <c r="Q135" s="141"/>
      <c r="R135" s="141"/>
      <c r="S135" s="141"/>
      <c r="T135" s="141"/>
      <c r="U135" s="141"/>
      <c r="V135" s="141"/>
      <c r="W135" s="141"/>
      <c r="X135" s="141"/>
      <c r="Y135" s="141"/>
      <c r="Z135" s="141"/>
      <c r="AA135" s="141"/>
      <c r="AB135" s="141"/>
    </row>
    <row r="136" spans="1:28" x14ac:dyDescent="0.35">
      <c r="A136" s="325" t="s">
        <v>130</v>
      </c>
      <c r="B136" s="52" t="s">
        <v>131</v>
      </c>
      <c r="C136" s="25" t="s">
        <v>132</v>
      </c>
      <c r="D136" s="84">
        <v>0.11139790590538201</v>
      </c>
      <c r="H136" s="141"/>
      <c r="I136" s="141"/>
      <c r="J136" s="141"/>
      <c r="K136" s="141"/>
      <c r="L136" s="141"/>
      <c r="M136" s="141"/>
      <c r="N136" s="141"/>
      <c r="O136" s="141"/>
      <c r="P136" s="141"/>
      <c r="Q136" s="141"/>
      <c r="R136" s="141"/>
      <c r="S136" s="141"/>
      <c r="T136" s="141"/>
      <c r="U136" s="141"/>
      <c r="V136" s="141"/>
      <c r="W136" s="141"/>
      <c r="X136" s="141"/>
      <c r="Y136" s="141"/>
      <c r="Z136" s="141"/>
      <c r="AA136" s="141"/>
      <c r="AB136" s="141"/>
    </row>
    <row r="137" spans="1:28" x14ac:dyDescent="0.35">
      <c r="A137" s="326"/>
      <c r="B137" s="52"/>
      <c r="C137" s="25"/>
      <c r="D137" s="84"/>
      <c r="H137" s="141"/>
      <c r="I137" s="141"/>
      <c r="J137" s="141"/>
      <c r="K137" s="141"/>
      <c r="L137" s="141"/>
      <c r="M137" s="141"/>
      <c r="N137" s="141"/>
      <c r="O137" s="141"/>
      <c r="P137" s="141"/>
      <c r="Q137" s="141"/>
      <c r="R137" s="141"/>
      <c r="S137" s="141"/>
      <c r="T137" s="141"/>
      <c r="U137" s="141"/>
      <c r="V137" s="141"/>
      <c r="W137" s="141"/>
      <c r="X137" s="141"/>
      <c r="Y137" s="141"/>
      <c r="Z137" s="141"/>
      <c r="AA137" s="141"/>
      <c r="AB137" s="141"/>
    </row>
    <row r="138" spans="1:28" x14ac:dyDescent="0.35">
      <c r="A138" s="326"/>
      <c r="B138" s="52"/>
      <c r="C138" s="25"/>
      <c r="D138" s="84"/>
      <c r="H138" s="141"/>
      <c r="I138" s="141"/>
      <c r="J138" s="141"/>
      <c r="K138" s="141"/>
      <c r="L138" s="141"/>
      <c r="M138" s="141"/>
      <c r="N138" s="141"/>
      <c r="O138" s="141"/>
      <c r="P138" s="141"/>
      <c r="Q138" s="141"/>
      <c r="R138" s="141"/>
      <c r="S138" s="141"/>
      <c r="T138" s="141"/>
      <c r="U138" s="141"/>
      <c r="V138" s="141"/>
      <c r="W138" s="141"/>
      <c r="X138" s="141"/>
      <c r="Y138" s="141"/>
      <c r="Z138" s="141"/>
      <c r="AA138" s="141"/>
      <c r="AB138" s="141"/>
    </row>
    <row r="139" spans="1:28" x14ac:dyDescent="0.35">
      <c r="A139" s="326"/>
      <c r="B139" s="85"/>
      <c r="C139" s="128"/>
      <c r="D139" s="45"/>
      <c r="H139" s="141"/>
      <c r="I139" s="141"/>
      <c r="J139" s="141"/>
      <c r="K139" s="141"/>
      <c r="L139" s="141"/>
      <c r="M139" s="141"/>
      <c r="N139" s="141"/>
      <c r="O139" s="141"/>
      <c r="P139" s="141"/>
      <c r="Q139" s="141"/>
      <c r="R139" s="141"/>
      <c r="S139" s="141"/>
      <c r="T139" s="141"/>
      <c r="U139" s="141"/>
      <c r="V139" s="141"/>
      <c r="W139" s="141"/>
      <c r="X139" s="141"/>
      <c r="Y139" s="141"/>
      <c r="Z139" s="141"/>
      <c r="AA139" s="141"/>
      <c r="AB139" s="141"/>
    </row>
    <row r="140" spans="1:28" x14ac:dyDescent="0.35">
      <c r="A140" s="326"/>
      <c r="B140" s="52" t="s">
        <v>134</v>
      </c>
      <c r="C140" s="25" t="s">
        <v>132</v>
      </c>
      <c r="D140" s="84">
        <v>2.8160563794549454E-2</v>
      </c>
      <c r="H140" s="141"/>
      <c r="I140" s="141"/>
      <c r="J140" s="141"/>
      <c r="K140" s="141"/>
      <c r="L140" s="141"/>
      <c r="M140" s="141"/>
      <c r="N140" s="141"/>
      <c r="O140" s="141"/>
      <c r="P140" s="141"/>
      <c r="Q140" s="141"/>
      <c r="R140" s="141"/>
      <c r="S140" s="141"/>
      <c r="T140" s="141"/>
      <c r="U140" s="141"/>
      <c r="V140" s="141"/>
      <c r="W140" s="141"/>
      <c r="X140" s="141"/>
      <c r="Y140" s="141"/>
      <c r="Z140" s="141"/>
      <c r="AA140" s="141"/>
      <c r="AB140" s="141"/>
    </row>
    <row r="141" spans="1:28" x14ac:dyDescent="0.35">
      <c r="A141" s="326"/>
      <c r="B141" s="52" t="s">
        <v>135</v>
      </c>
      <c r="C141" s="25" t="s">
        <v>132</v>
      </c>
      <c r="D141" s="84">
        <v>2.3919144255342362E-2</v>
      </c>
      <c r="H141" s="141"/>
      <c r="I141" s="141"/>
      <c r="J141" s="141"/>
      <c r="K141" s="141"/>
      <c r="L141" s="141"/>
      <c r="M141" s="141"/>
      <c r="N141" s="141"/>
      <c r="O141" s="141"/>
      <c r="P141" s="141"/>
      <c r="Q141" s="141"/>
      <c r="R141" s="141"/>
      <c r="S141" s="141"/>
      <c r="T141" s="141"/>
      <c r="U141" s="141"/>
      <c r="V141" s="141"/>
      <c r="W141" s="141"/>
      <c r="X141" s="141"/>
      <c r="Y141" s="141"/>
      <c r="Z141" s="141"/>
      <c r="AA141" s="141"/>
      <c r="AB141" s="141"/>
    </row>
    <row r="142" spans="1:28" x14ac:dyDescent="0.35">
      <c r="A142" s="326"/>
      <c r="B142" s="52" t="s">
        <v>136</v>
      </c>
      <c r="C142" s="25" t="s">
        <v>132</v>
      </c>
      <c r="D142" s="84">
        <v>7.2415243025247378E-2</v>
      </c>
      <c r="H142" s="141"/>
      <c r="I142" s="141"/>
      <c r="J142" s="141"/>
      <c r="K142" s="141"/>
      <c r="L142" s="141"/>
      <c r="M142" s="141"/>
      <c r="N142" s="141"/>
      <c r="O142" s="141"/>
      <c r="P142" s="141"/>
      <c r="Q142" s="141"/>
      <c r="R142" s="141"/>
      <c r="S142" s="141"/>
      <c r="T142" s="141"/>
      <c r="U142" s="141"/>
      <c r="V142" s="141"/>
      <c r="W142" s="141"/>
      <c r="X142" s="141"/>
      <c r="Y142" s="141"/>
      <c r="Z142" s="141"/>
      <c r="AA142" s="141"/>
      <c r="AB142" s="141"/>
    </row>
    <row r="143" spans="1:28" x14ac:dyDescent="0.35">
      <c r="A143" s="326"/>
      <c r="B143" s="52" t="s">
        <v>137</v>
      </c>
      <c r="C143" s="25" t="s">
        <v>132</v>
      </c>
      <c r="D143" s="84">
        <v>4.7714333877406645E-2</v>
      </c>
      <c r="H143" s="141"/>
      <c r="I143" s="141"/>
      <c r="J143" s="141"/>
      <c r="K143" s="141"/>
      <c r="L143" s="141"/>
      <c r="M143" s="141"/>
      <c r="N143" s="141"/>
      <c r="O143" s="141"/>
      <c r="P143" s="141"/>
      <c r="Q143" s="141"/>
      <c r="R143" s="141"/>
      <c r="S143" s="141"/>
      <c r="T143" s="141"/>
      <c r="U143" s="141"/>
      <c r="V143" s="141"/>
      <c r="W143" s="141"/>
      <c r="X143" s="141"/>
      <c r="Y143" s="141"/>
      <c r="Z143" s="141"/>
      <c r="AA143" s="141"/>
      <c r="AB143" s="141"/>
    </row>
    <row r="144" spans="1:28" x14ac:dyDescent="0.35">
      <c r="A144" s="326"/>
      <c r="B144" s="52" t="s">
        <v>138</v>
      </c>
      <c r="C144" s="25" t="s">
        <v>132</v>
      </c>
      <c r="D144" s="84">
        <v>0.2513158057702729</v>
      </c>
      <c r="H144" s="141"/>
      <c r="I144" s="141"/>
      <c r="J144" s="141"/>
      <c r="K144" s="141"/>
      <c r="L144" s="141"/>
      <c r="M144" s="141"/>
      <c r="N144" s="141"/>
      <c r="O144" s="141"/>
      <c r="P144" s="141"/>
      <c r="Q144" s="141"/>
      <c r="R144" s="141"/>
      <c r="S144" s="141"/>
      <c r="T144" s="141"/>
      <c r="U144" s="141"/>
      <c r="V144" s="141"/>
      <c r="W144" s="141"/>
      <c r="X144" s="141"/>
      <c r="Y144" s="141"/>
      <c r="Z144" s="141"/>
      <c r="AA144" s="141"/>
      <c r="AB144" s="141"/>
    </row>
    <row r="145" spans="1:2509" x14ac:dyDescent="0.35">
      <c r="A145" s="326"/>
      <c r="B145" s="52" t="s">
        <v>139</v>
      </c>
      <c r="C145" s="25" t="s">
        <v>132</v>
      </c>
      <c r="D145" s="84">
        <v>0.41031784894531964</v>
      </c>
      <c r="H145" s="141"/>
      <c r="I145" s="141"/>
      <c r="J145" s="141"/>
      <c r="K145" s="141"/>
      <c r="L145" s="141"/>
      <c r="M145" s="141"/>
      <c r="N145" s="141"/>
      <c r="O145" s="141"/>
      <c r="P145" s="141"/>
      <c r="Q145" s="141"/>
      <c r="R145" s="141"/>
      <c r="S145" s="141"/>
      <c r="T145" s="141"/>
      <c r="U145" s="141"/>
      <c r="V145" s="141"/>
      <c r="W145" s="141"/>
      <c r="X145" s="141"/>
      <c r="Y145" s="141"/>
      <c r="Z145" s="141"/>
      <c r="AA145" s="141"/>
      <c r="AB145" s="141"/>
    </row>
    <row r="146" spans="1:2509" x14ac:dyDescent="0.35">
      <c r="A146" s="326"/>
      <c r="B146" s="52" t="s">
        <v>140</v>
      </c>
      <c r="C146" s="25" t="s">
        <v>132</v>
      </c>
      <c r="D146" s="86">
        <v>0.45342377398037281</v>
      </c>
      <c r="H146" s="141"/>
      <c r="I146" s="141"/>
      <c r="J146" s="141"/>
      <c r="K146" s="141"/>
      <c r="L146" s="141"/>
      <c r="M146" s="141"/>
      <c r="N146" s="141"/>
      <c r="O146" s="141"/>
      <c r="P146" s="141"/>
      <c r="Q146" s="141"/>
      <c r="R146" s="141"/>
      <c r="S146" s="141"/>
      <c r="T146" s="141"/>
      <c r="U146" s="141"/>
      <c r="V146" s="141"/>
      <c r="W146" s="141"/>
      <c r="X146" s="141"/>
      <c r="Y146" s="141"/>
      <c r="Z146" s="141"/>
      <c r="AA146" s="141"/>
      <c r="AB146" s="141"/>
    </row>
    <row r="147" spans="1:2509" x14ac:dyDescent="0.35">
      <c r="A147" s="327"/>
      <c r="B147" s="52" t="s">
        <v>141</v>
      </c>
      <c r="C147" s="25" t="s">
        <v>132</v>
      </c>
      <c r="D147" s="87">
        <v>0.29499999999999998</v>
      </c>
      <c r="H147" s="141"/>
      <c r="I147" s="141"/>
      <c r="J147" s="141"/>
      <c r="K147" s="141"/>
      <c r="L147" s="141"/>
      <c r="M147" s="141"/>
      <c r="N147" s="141"/>
      <c r="O147" s="141"/>
      <c r="P147" s="141"/>
      <c r="Q147" s="141"/>
      <c r="R147" s="141"/>
      <c r="S147" s="141"/>
      <c r="T147" s="141"/>
      <c r="U147" s="141"/>
      <c r="V147" s="141"/>
      <c r="W147" s="141"/>
      <c r="X147" s="141"/>
      <c r="Y147" s="141"/>
      <c r="Z147" s="141"/>
      <c r="AA147" s="141"/>
      <c r="AB147" s="141"/>
    </row>
    <row r="148" spans="1:2509" x14ac:dyDescent="0.35">
      <c r="A148" s="328" t="s">
        <v>142</v>
      </c>
      <c r="B148" s="52" t="s">
        <v>320</v>
      </c>
      <c r="C148" s="88" t="s">
        <v>83</v>
      </c>
      <c r="D148" s="9">
        <v>6115.5376924129896</v>
      </c>
      <c r="H148" s="141"/>
      <c r="I148" s="141"/>
      <c r="J148" s="141"/>
      <c r="K148" s="141"/>
      <c r="L148" s="141"/>
      <c r="M148" s="141"/>
      <c r="N148" s="141"/>
      <c r="O148" s="141"/>
      <c r="P148" s="141"/>
      <c r="Q148" s="141"/>
      <c r="R148" s="141"/>
      <c r="S148" s="141"/>
      <c r="T148" s="141"/>
      <c r="U148" s="141"/>
      <c r="V148" s="141"/>
      <c r="W148" s="141"/>
      <c r="X148" s="141"/>
      <c r="Y148" s="141"/>
      <c r="Z148" s="141"/>
      <c r="AA148" s="141"/>
      <c r="AB148" s="141"/>
    </row>
    <row r="149" spans="1:2509" x14ac:dyDescent="0.35">
      <c r="A149" s="326"/>
      <c r="B149" s="52" t="s">
        <v>319</v>
      </c>
      <c r="C149" s="88" t="s">
        <v>83</v>
      </c>
      <c r="D149" s="9">
        <v>38.662307587005927</v>
      </c>
      <c r="H149" s="141"/>
      <c r="I149" s="141"/>
      <c r="J149" s="141"/>
      <c r="K149" s="141"/>
      <c r="L149" s="141"/>
      <c r="M149" s="141"/>
      <c r="N149" s="141"/>
      <c r="O149" s="141"/>
      <c r="P149" s="141"/>
      <c r="Q149" s="141"/>
      <c r="R149" s="141"/>
      <c r="S149" s="141"/>
      <c r="T149" s="141"/>
      <c r="U149" s="141"/>
      <c r="V149" s="141"/>
      <c r="W149" s="141"/>
      <c r="X149" s="141"/>
      <c r="Y149" s="141"/>
      <c r="Z149" s="141"/>
      <c r="AA149" s="141"/>
      <c r="AB149" s="141"/>
    </row>
    <row r="150" spans="1:2509" x14ac:dyDescent="0.35">
      <c r="A150" s="326"/>
      <c r="B150" s="52" t="s">
        <v>321</v>
      </c>
      <c r="C150" s="88" t="s">
        <v>83</v>
      </c>
      <c r="D150" s="9">
        <v>2818.0740303998846</v>
      </c>
      <c r="H150" s="141"/>
      <c r="I150" s="141"/>
      <c r="J150" s="141"/>
      <c r="K150" s="141"/>
      <c r="L150" s="141"/>
      <c r="M150" s="141"/>
      <c r="N150" s="141"/>
      <c r="O150" s="141"/>
      <c r="P150" s="141"/>
      <c r="Q150" s="141"/>
      <c r="R150" s="141"/>
      <c r="S150" s="141"/>
      <c r="T150" s="141"/>
      <c r="U150" s="141"/>
      <c r="V150" s="141"/>
      <c r="W150" s="141"/>
      <c r="X150" s="141"/>
      <c r="Y150" s="141"/>
      <c r="Z150" s="141"/>
      <c r="AA150" s="141"/>
      <c r="AB150" s="141"/>
    </row>
    <row r="151" spans="1:2509" x14ac:dyDescent="0.35">
      <c r="A151" s="326"/>
      <c r="B151" s="52" t="s">
        <v>322</v>
      </c>
      <c r="C151" s="88" t="s">
        <v>83</v>
      </c>
      <c r="D151" s="9">
        <v>25.925969600115518</v>
      </c>
      <c r="H151" s="141"/>
      <c r="I151" s="141"/>
      <c r="J151" s="141"/>
      <c r="K151" s="141"/>
      <c r="L151" s="141"/>
      <c r="M151" s="141"/>
      <c r="N151" s="141"/>
      <c r="O151" s="141"/>
      <c r="P151" s="141"/>
      <c r="Q151" s="141"/>
      <c r="R151" s="141"/>
      <c r="S151" s="141"/>
      <c r="T151" s="141"/>
      <c r="U151" s="141"/>
      <c r="V151" s="141"/>
      <c r="W151" s="141"/>
      <c r="X151" s="141"/>
    </row>
    <row r="152" spans="1:2509" x14ac:dyDescent="0.35">
      <c r="A152" s="326"/>
      <c r="B152" s="52" t="s">
        <v>323</v>
      </c>
      <c r="C152" s="88" t="s">
        <v>83</v>
      </c>
      <c r="D152" s="9">
        <v>6042.5999999999995</v>
      </c>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c r="AA152" s="141"/>
      <c r="AB152" s="141"/>
      <c r="AC152" s="141"/>
      <c r="AD152" s="141"/>
      <c r="AE152" s="141"/>
      <c r="AF152" s="141"/>
      <c r="AG152" s="141"/>
      <c r="AH152" s="141"/>
      <c r="AI152" s="141"/>
      <c r="AJ152" s="141"/>
      <c r="AK152" s="141"/>
      <c r="AL152" s="141"/>
      <c r="AM152" s="141"/>
    </row>
    <row r="153" spans="1:2509" x14ac:dyDescent="0.35">
      <c r="A153" s="327"/>
      <c r="B153" s="52" t="s">
        <v>324</v>
      </c>
      <c r="C153" s="88" t="s">
        <v>83</v>
      </c>
      <c r="D153" s="9">
        <v>1090.8</v>
      </c>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c r="AA153" s="141"/>
      <c r="AB153" s="141"/>
      <c r="AC153" s="141"/>
      <c r="AD153" s="141"/>
      <c r="AE153" s="141"/>
      <c r="AF153" s="141"/>
      <c r="AG153" s="141"/>
      <c r="AH153" s="141"/>
      <c r="AI153" s="141"/>
      <c r="AJ153" s="141"/>
      <c r="AK153" s="141"/>
      <c r="AL153" s="141"/>
      <c r="AM153" s="141"/>
    </row>
    <row r="154" spans="1:2509" s="12" customFormat="1" x14ac:dyDescent="0.35">
      <c r="A154" s="329" t="s">
        <v>130</v>
      </c>
      <c r="B154" s="52" t="s">
        <v>143</v>
      </c>
      <c r="C154" s="88" t="s">
        <v>133</v>
      </c>
      <c r="D154" s="9">
        <v>0.27712259634619696</v>
      </c>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c r="AA154" s="141"/>
      <c r="AB154" s="141"/>
      <c r="AC154" s="141"/>
      <c r="AD154" s="141"/>
      <c r="AE154" s="141"/>
      <c r="AF154" s="141"/>
      <c r="AG154" s="141"/>
      <c r="AH154" s="141"/>
      <c r="AI154" s="141"/>
      <c r="AJ154" s="141"/>
      <c r="AK154" s="141"/>
      <c r="AL154" s="141"/>
      <c r="AM154" s="141"/>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c r="LQ154"/>
      <c r="LR154"/>
      <c r="LS154"/>
      <c r="LT154"/>
      <c r="LU154"/>
      <c r="LV154"/>
      <c r="LW154"/>
      <c r="LX154"/>
      <c r="LY154"/>
      <c r="LZ154"/>
      <c r="MA154"/>
      <c r="MB154"/>
      <c r="MC154"/>
      <c r="MD154"/>
      <c r="ME154"/>
      <c r="MF154"/>
      <c r="MG154"/>
      <c r="MH154"/>
      <c r="MI154"/>
      <c r="MJ154"/>
      <c r="MK154"/>
      <c r="ML154"/>
      <c r="MM154"/>
      <c r="MN154"/>
      <c r="MO154"/>
      <c r="MP154"/>
      <c r="MQ154"/>
      <c r="MR154"/>
      <c r="MS154"/>
      <c r="MT154"/>
      <c r="MU154"/>
      <c r="MV154"/>
      <c r="MW154"/>
      <c r="MX154"/>
      <c r="MY154"/>
      <c r="MZ154"/>
      <c r="NA154"/>
      <c r="NB154"/>
      <c r="NC154"/>
      <c r="ND154"/>
      <c r="NE154"/>
      <c r="NF154"/>
      <c r="NG154"/>
      <c r="NH154"/>
      <c r="NI154"/>
      <c r="NJ154"/>
      <c r="NK154"/>
      <c r="NL154"/>
      <c r="NM154"/>
      <c r="NN154"/>
      <c r="NO154"/>
      <c r="NP154"/>
      <c r="NQ154"/>
      <c r="NR154"/>
      <c r="NS154"/>
      <c r="NT154"/>
      <c r="NU154"/>
      <c r="NV154"/>
      <c r="NW154"/>
      <c r="NX154"/>
      <c r="NY154"/>
      <c r="NZ154"/>
      <c r="OA154"/>
      <c r="OB154"/>
      <c r="OC154"/>
      <c r="OD154"/>
      <c r="OE154"/>
      <c r="OF154"/>
      <c r="OG154"/>
      <c r="OH154"/>
      <c r="OI154"/>
      <c r="OJ154"/>
      <c r="OK154"/>
      <c r="OL154"/>
      <c r="OM154"/>
      <c r="ON154"/>
      <c r="OO154"/>
      <c r="OP154"/>
      <c r="OQ154"/>
      <c r="OR154"/>
      <c r="OS154"/>
      <c r="OT154"/>
      <c r="OU154"/>
      <c r="OV154"/>
      <c r="OW154"/>
      <c r="OX154"/>
      <c r="OY154"/>
      <c r="OZ154"/>
      <c r="PA154"/>
      <c r="PB154"/>
      <c r="PC154"/>
      <c r="PD154"/>
      <c r="PE154"/>
      <c r="PF154"/>
      <c r="PG154"/>
      <c r="PH154"/>
      <c r="PI154"/>
      <c r="PJ154"/>
      <c r="PK154"/>
      <c r="PL154"/>
      <c r="PM154"/>
      <c r="PN154"/>
      <c r="PO154"/>
      <c r="PP154"/>
      <c r="PQ154"/>
      <c r="PR154"/>
      <c r="PS154"/>
      <c r="PT154"/>
      <c r="PU154"/>
      <c r="PV154"/>
      <c r="PW154"/>
      <c r="PX154"/>
      <c r="PY154"/>
      <c r="PZ154"/>
      <c r="QA154"/>
      <c r="QB154"/>
      <c r="QC154"/>
      <c r="QD154"/>
      <c r="QE154"/>
      <c r="QF154"/>
      <c r="QG154"/>
      <c r="QH154"/>
      <c r="QI154"/>
      <c r="QJ154"/>
      <c r="QK154"/>
      <c r="QL154"/>
      <c r="QM154"/>
      <c r="QN154"/>
      <c r="QO154"/>
      <c r="QP154"/>
      <c r="QQ154"/>
      <c r="QR154"/>
      <c r="QS154"/>
      <c r="QT154"/>
      <c r="QU154"/>
      <c r="QV154"/>
      <c r="QW154"/>
      <c r="QX154"/>
      <c r="QY154"/>
      <c r="QZ154"/>
      <c r="RA154"/>
      <c r="RB154"/>
      <c r="RC154"/>
      <c r="RD154"/>
      <c r="RE154"/>
      <c r="RF154"/>
      <c r="RG154"/>
      <c r="RH154"/>
      <c r="RI154"/>
      <c r="RJ154"/>
      <c r="RK154"/>
      <c r="RL154"/>
      <c r="RM154"/>
      <c r="RN154"/>
      <c r="RO154"/>
      <c r="RP154"/>
      <c r="RQ154"/>
      <c r="RR154"/>
      <c r="RS154"/>
      <c r="RT154"/>
      <c r="RU154"/>
      <c r="RV154"/>
      <c r="RW154"/>
      <c r="RX154"/>
      <c r="RY154"/>
      <c r="RZ154"/>
      <c r="SA154"/>
      <c r="SB154"/>
      <c r="SC154"/>
      <c r="SD154"/>
      <c r="SE154"/>
      <c r="SF154"/>
      <c r="SG154"/>
      <c r="SH154"/>
      <c r="SI154"/>
      <c r="SJ154"/>
      <c r="SK154"/>
      <c r="SL154"/>
      <c r="SM154"/>
      <c r="SN154"/>
      <c r="SO154"/>
      <c r="SP154"/>
      <c r="SQ154"/>
      <c r="SR154"/>
      <c r="SS154"/>
      <c r="ST154"/>
      <c r="SU154"/>
      <c r="SV154"/>
      <c r="SW154"/>
      <c r="SX154"/>
      <c r="SY154"/>
      <c r="SZ154"/>
      <c r="TA154"/>
      <c r="TB154"/>
      <c r="TC154"/>
      <c r="TD154"/>
      <c r="TE154"/>
      <c r="TF154"/>
      <c r="TG154"/>
      <c r="TH154"/>
      <c r="TI154"/>
      <c r="TJ154"/>
      <c r="TK154"/>
      <c r="TL154"/>
      <c r="TM154"/>
      <c r="TN154"/>
      <c r="TO154"/>
      <c r="TP154"/>
      <c r="TQ154"/>
      <c r="TR154"/>
      <c r="TS154"/>
      <c r="TT154"/>
      <c r="TU154"/>
      <c r="TV154"/>
      <c r="TW154"/>
      <c r="TX154"/>
      <c r="TY154"/>
      <c r="TZ154"/>
      <c r="UA154"/>
      <c r="UB154"/>
      <c r="UC154"/>
      <c r="UD154"/>
      <c r="UE154"/>
      <c r="UF154"/>
      <c r="UG154"/>
      <c r="UH154"/>
      <c r="UI154"/>
      <c r="UJ154"/>
      <c r="UK154"/>
      <c r="UL154"/>
      <c r="UM154"/>
      <c r="UN154"/>
      <c r="UO154"/>
      <c r="UP154"/>
      <c r="UQ154"/>
      <c r="UR154"/>
      <c r="US154"/>
      <c r="UT154"/>
      <c r="UU154"/>
      <c r="UV154"/>
      <c r="UW154"/>
      <c r="UX154"/>
      <c r="UY154"/>
      <c r="UZ154"/>
      <c r="VA154"/>
      <c r="VB154"/>
      <c r="VC154"/>
      <c r="VD154"/>
      <c r="VE154"/>
      <c r="VF154"/>
      <c r="VG154"/>
      <c r="VH154"/>
      <c r="VI154"/>
      <c r="VJ154"/>
      <c r="VK154"/>
      <c r="VL154"/>
      <c r="VM154"/>
      <c r="VN154"/>
      <c r="VO154"/>
      <c r="VP154"/>
      <c r="VQ154"/>
      <c r="VR154"/>
      <c r="VS154"/>
      <c r="VT154"/>
      <c r="VU154"/>
      <c r="VV154"/>
      <c r="VW154"/>
      <c r="VX154"/>
      <c r="VY154"/>
      <c r="VZ154"/>
      <c r="WA154"/>
      <c r="WB154"/>
      <c r="WC154"/>
      <c r="WD154"/>
      <c r="WE154"/>
      <c r="WF154"/>
      <c r="WG154"/>
      <c r="WH154"/>
      <c r="WI154"/>
      <c r="WJ154"/>
      <c r="WK154"/>
      <c r="WL154"/>
      <c r="WM154"/>
      <c r="WN154"/>
      <c r="WO154"/>
      <c r="WP154"/>
      <c r="WQ154"/>
      <c r="WR154"/>
      <c r="WS154"/>
      <c r="WT154"/>
      <c r="WU154"/>
      <c r="WV154"/>
      <c r="WW154"/>
      <c r="WX154"/>
      <c r="WY154"/>
      <c r="WZ154"/>
      <c r="XA154"/>
      <c r="XB154"/>
      <c r="XC154"/>
      <c r="XD154"/>
      <c r="XE154"/>
      <c r="XF154"/>
      <c r="XG154"/>
      <c r="XH154"/>
      <c r="XI154"/>
      <c r="XJ154"/>
      <c r="XK154"/>
      <c r="XL154"/>
      <c r="XM154"/>
      <c r="XN154"/>
      <c r="XO154"/>
      <c r="XP154"/>
      <c r="XQ154"/>
      <c r="XR154"/>
      <c r="XS154"/>
      <c r="XT154"/>
      <c r="XU154"/>
      <c r="XV154"/>
      <c r="XW154"/>
      <c r="XX154"/>
      <c r="XY154"/>
      <c r="XZ154"/>
      <c r="YA154"/>
      <c r="YB154"/>
      <c r="YC154"/>
      <c r="YD154"/>
      <c r="YE154"/>
      <c r="YF154"/>
      <c r="YG154"/>
      <c r="YH154"/>
      <c r="YI154"/>
      <c r="YJ154"/>
      <c r="YK154"/>
      <c r="YL154"/>
      <c r="YM154"/>
      <c r="YN154"/>
      <c r="YO154"/>
      <c r="YP154"/>
      <c r="YQ154"/>
      <c r="YR154"/>
      <c r="YS154"/>
      <c r="YT154"/>
      <c r="YU154"/>
      <c r="YV154"/>
      <c r="YW154"/>
      <c r="YX154"/>
      <c r="YY154"/>
      <c r="YZ154"/>
      <c r="ZA154"/>
      <c r="ZB154"/>
      <c r="ZC154"/>
      <c r="ZD154"/>
      <c r="ZE154"/>
      <c r="ZF154"/>
      <c r="ZG154"/>
      <c r="ZH154"/>
      <c r="ZI154"/>
      <c r="ZJ154"/>
      <c r="ZK154"/>
      <c r="ZL154"/>
      <c r="ZM154"/>
      <c r="ZN154"/>
      <c r="ZO154"/>
      <c r="ZP154"/>
      <c r="ZQ154"/>
      <c r="ZR154"/>
      <c r="ZS154"/>
      <c r="ZT154"/>
      <c r="ZU154"/>
      <c r="ZV154"/>
      <c r="ZW154"/>
      <c r="ZX154"/>
      <c r="ZY154"/>
      <c r="ZZ154"/>
      <c r="AAA154"/>
      <c r="AAB154"/>
      <c r="AAC154"/>
      <c r="AAD154"/>
      <c r="AAE154"/>
      <c r="AAF154"/>
      <c r="AAG154"/>
      <c r="AAH154"/>
      <c r="AAI154"/>
      <c r="AAJ154"/>
      <c r="AAK154"/>
      <c r="AAL154"/>
      <c r="AAM154"/>
      <c r="AAN154"/>
      <c r="AAO154"/>
      <c r="AAP154"/>
      <c r="AAQ154"/>
      <c r="AAR154"/>
      <c r="AAS154"/>
      <c r="AAT154"/>
      <c r="AAU154"/>
      <c r="AAV154"/>
      <c r="AAW154"/>
      <c r="AAX154"/>
      <c r="AAY154"/>
      <c r="AAZ154"/>
      <c r="ABA154"/>
      <c r="ABB154"/>
      <c r="ABC154"/>
      <c r="ABD154"/>
      <c r="ABE154"/>
      <c r="ABF154"/>
      <c r="ABG154"/>
      <c r="ABH154"/>
      <c r="ABI154"/>
      <c r="ABJ154"/>
      <c r="ABK154"/>
      <c r="ABL154"/>
      <c r="ABM154"/>
      <c r="ABN154"/>
      <c r="ABO154"/>
      <c r="ABP154"/>
      <c r="ABQ154"/>
      <c r="ABR154"/>
      <c r="ABS154"/>
      <c r="ABT154"/>
      <c r="ABU154"/>
      <c r="ABV154"/>
      <c r="ABW154"/>
      <c r="ABX154"/>
      <c r="ABY154"/>
      <c r="ABZ154"/>
      <c r="ACA154"/>
      <c r="ACB154"/>
      <c r="ACC154"/>
      <c r="ACD154"/>
      <c r="ACE154"/>
      <c r="ACF154"/>
      <c r="ACG154"/>
      <c r="ACH154"/>
      <c r="ACI154"/>
      <c r="ACJ154"/>
      <c r="ACK154"/>
      <c r="ACL154"/>
      <c r="ACM154"/>
      <c r="ACN154"/>
      <c r="ACO154"/>
      <c r="ACP154"/>
      <c r="ACQ154"/>
      <c r="ACR154"/>
      <c r="ACS154"/>
      <c r="ACT154"/>
      <c r="ACU154"/>
      <c r="ACV154"/>
      <c r="ACW154"/>
      <c r="ACX154"/>
      <c r="ACY154"/>
      <c r="ACZ154"/>
      <c r="ADA154"/>
      <c r="ADB154"/>
      <c r="ADC154"/>
      <c r="ADD154"/>
      <c r="ADE154"/>
      <c r="ADF154"/>
      <c r="ADG154"/>
      <c r="ADH154"/>
      <c r="ADI154"/>
      <c r="ADJ154"/>
      <c r="ADK154"/>
      <c r="ADL154"/>
      <c r="ADM154"/>
      <c r="ADN154"/>
      <c r="ADO154"/>
      <c r="ADP154"/>
      <c r="ADQ154"/>
      <c r="ADR154"/>
      <c r="ADS154"/>
      <c r="ADT154"/>
      <c r="ADU154"/>
      <c r="ADV154"/>
      <c r="ADW154"/>
      <c r="ADX154"/>
      <c r="ADY154"/>
      <c r="ADZ154"/>
      <c r="AEA154"/>
      <c r="AEB154"/>
      <c r="AEC154"/>
      <c r="AED154"/>
      <c r="AEE154"/>
      <c r="AEF154"/>
      <c r="AEG154"/>
      <c r="AEH154"/>
      <c r="AEI154"/>
      <c r="AEJ154"/>
      <c r="AEK154"/>
      <c r="AEL154"/>
      <c r="AEM154"/>
      <c r="AEN154"/>
      <c r="AEO154"/>
      <c r="AEP154"/>
      <c r="AEQ154"/>
      <c r="AER154"/>
      <c r="AES154"/>
      <c r="AET154"/>
      <c r="AEU154"/>
      <c r="AEV154"/>
      <c r="AEW154"/>
      <c r="AEX154"/>
      <c r="AEY154"/>
      <c r="AEZ154"/>
      <c r="AFA154"/>
      <c r="AFB154"/>
      <c r="AFC154"/>
      <c r="AFD154"/>
      <c r="AFE154"/>
      <c r="AFF154"/>
      <c r="AFG154"/>
      <c r="AFH154"/>
      <c r="AFI154"/>
      <c r="AFJ154"/>
      <c r="AFK154"/>
      <c r="AFL154"/>
      <c r="AFM154"/>
      <c r="AFN154"/>
      <c r="AFO154"/>
      <c r="AFP154"/>
      <c r="AFQ154"/>
      <c r="AFR154"/>
      <c r="AFS154"/>
      <c r="AFT154"/>
      <c r="AFU154"/>
      <c r="AFV154"/>
      <c r="AFW154"/>
      <c r="AFX154"/>
      <c r="AFY154"/>
      <c r="AFZ154"/>
      <c r="AGA154"/>
      <c r="AGB154"/>
      <c r="AGC154"/>
      <c r="AGD154"/>
      <c r="AGE154"/>
      <c r="AGF154"/>
      <c r="AGG154"/>
      <c r="AGH154"/>
      <c r="AGI154"/>
      <c r="AGJ154"/>
      <c r="AGK154"/>
      <c r="AGL154"/>
      <c r="AGM154"/>
      <c r="AGN154"/>
      <c r="AGO154"/>
      <c r="AGP154"/>
      <c r="AGQ154"/>
      <c r="AGR154"/>
      <c r="AGS154"/>
      <c r="AGT154"/>
      <c r="AGU154"/>
      <c r="AGV154"/>
      <c r="AGW154"/>
      <c r="AGX154"/>
      <c r="AGY154"/>
      <c r="AGZ154"/>
      <c r="AHA154"/>
      <c r="AHB154"/>
      <c r="AHC154"/>
      <c r="AHD154"/>
      <c r="AHE154"/>
      <c r="AHF154"/>
      <c r="AHG154"/>
      <c r="AHH154"/>
      <c r="AHI154"/>
      <c r="AHJ154"/>
      <c r="AHK154"/>
      <c r="AHL154"/>
      <c r="AHM154"/>
      <c r="AHN154"/>
      <c r="AHO154"/>
      <c r="AHP154"/>
      <c r="AHQ154"/>
      <c r="AHR154"/>
      <c r="AHS154"/>
      <c r="AHT154"/>
      <c r="AHU154"/>
      <c r="AHV154"/>
      <c r="AHW154"/>
      <c r="AHX154"/>
      <c r="AHY154"/>
      <c r="AHZ154"/>
      <c r="AIA154"/>
      <c r="AIB154"/>
      <c r="AIC154"/>
      <c r="AID154"/>
      <c r="AIE154"/>
      <c r="AIF154"/>
      <c r="AIG154"/>
      <c r="AIH154"/>
      <c r="AII154"/>
      <c r="AIJ154"/>
      <c r="AIK154"/>
      <c r="AIL154"/>
      <c r="AIM154"/>
      <c r="AIN154"/>
      <c r="AIO154"/>
      <c r="AIP154"/>
      <c r="AIQ154"/>
      <c r="AIR154"/>
      <c r="AIS154"/>
      <c r="AIT154"/>
      <c r="AIU154"/>
      <c r="AIV154"/>
      <c r="AIW154"/>
      <c r="AIX154"/>
      <c r="AIY154"/>
      <c r="AIZ154"/>
      <c r="AJA154"/>
      <c r="AJB154"/>
      <c r="AJC154"/>
      <c r="AJD154"/>
      <c r="AJE154"/>
      <c r="AJF154"/>
      <c r="AJG154"/>
      <c r="AJH154"/>
      <c r="AJI154"/>
      <c r="AJJ154"/>
      <c r="AJK154"/>
      <c r="AJL154"/>
      <c r="AJM154"/>
      <c r="AJN154"/>
      <c r="AJO154"/>
      <c r="AJP154"/>
      <c r="AJQ154"/>
      <c r="AJR154"/>
      <c r="AJS154"/>
      <c r="AJT154"/>
      <c r="AJU154"/>
      <c r="AJV154"/>
      <c r="AJW154"/>
      <c r="AJX154"/>
      <c r="AJY154"/>
      <c r="AJZ154"/>
      <c r="AKA154"/>
      <c r="AKB154"/>
      <c r="AKC154"/>
      <c r="AKD154"/>
      <c r="AKE154"/>
      <c r="AKF154"/>
      <c r="AKG154"/>
      <c r="AKH154"/>
      <c r="AKI154"/>
      <c r="AKJ154"/>
      <c r="AKK154"/>
      <c r="AKL154"/>
      <c r="AKM154"/>
      <c r="AKN154"/>
      <c r="AKO154"/>
      <c r="AKP154"/>
      <c r="AKQ154"/>
      <c r="AKR154"/>
      <c r="AKS154"/>
      <c r="AKT154"/>
      <c r="AKU154"/>
      <c r="AKV154"/>
      <c r="AKW154"/>
      <c r="AKX154"/>
      <c r="AKY154"/>
      <c r="AKZ154"/>
      <c r="ALA154"/>
      <c r="ALB154"/>
      <c r="ALC154"/>
      <c r="ALD154"/>
      <c r="ALE154"/>
      <c r="ALF154"/>
      <c r="ALG154"/>
      <c r="ALH154"/>
      <c r="ALI154"/>
      <c r="ALJ154"/>
      <c r="ALK154"/>
      <c r="ALL154"/>
      <c r="ALM154"/>
      <c r="ALN154"/>
      <c r="ALO154"/>
      <c r="ALP154"/>
      <c r="ALQ154"/>
      <c r="ALR154"/>
      <c r="ALS154"/>
      <c r="ALT154"/>
      <c r="ALU154"/>
      <c r="ALV154"/>
      <c r="ALW154"/>
      <c r="ALX154"/>
      <c r="ALY154"/>
      <c r="ALZ154"/>
      <c r="AMA154"/>
      <c r="AMB154"/>
      <c r="AMC154"/>
      <c r="AMD154"/>
      <c r="AME154"/>
      <c r="AMF154"/>
      <c r="AMG154"/>
      <c r="AMH154"/>
      <c r="AMI154"/>
      <c r="AMJ154"/>
      <c r="AMK154"/>
      <c r="AML154"/>
      <c r="AMM154"/>
      <c r="AMN154"/>
      <c r="AMO154"/>
      <c r="AMP154"/>
      <c r="AMQ154"/>
      <c r="AMR154"/>
      <c r="AMS154"/>
      <c r="AMT154"/>
      <c r="AMU154"/>
      <c r="AMV154"/>
      <c r="AMW154"/>
      <c r="AMX154"/>
      <c r="AMY154"/>
      <c r="AMZ154"/>
      <c r="ANA154"/>
      <c r="ANB154"/>
      <c r="ANC154"/>
      <c r="AND154"/>
      <c r="ANE154"/>
      <c r="ANF154"/>
      <c r="ANG154"/>
      <c r="ANH154"/>
      <c r="ANI154"/>
      <c r="ANJ154"/>
      <c r="ANK154"/>
      <c r="ANL154"/>
      <c r="ANM154"/>
      <c r="ANN154"/>
      <c r="ANO154"/>
      <c r="ANP154"/>
      <c r="ANQ154"/>
      <c r="ANR154"/>
      <c r="ANS154"/>
      <c r="ANT154"/>
      <c r="ANU154"/>
      <c r="ANV154"/>
      <c r="ANW154"/>
      <c r="ANX154"/>
      <c r="ANY154"/>
      <c r="ANZ154"/>
      <c r="AOA154"/>
      <c r="AOB154"/>
      <c r="AOC154"/>
      <c r="AOD154"/>
      <c r="AOE154"/>
      <c r="AOF154"/>
      <c r="AOG154"/>
      <c r="AOH154"/>
      <c r="AOI154"/>
      <c r="AOJ154"/>
      <c r="AOK154"/>
      <c r="AOL154"/>
      <c r="AOM154"/>
      <c r="AON154"/>
      <c r="AOO154"/>
      <c r="AOP154"/>
      <c r="AOQ154"/>
      <c r="AOR154"/>
      <c r="AOS154"/>
      <c r="AOT154"/>
      <c r="AOU154"/>
      <c r="AOV154"/>
      <c r="AOW154"/>
      <c r="AOX154"/>
      <c r="AOY154"/>
      <c r="AOZ154"/>
      <c r="APA154"/>
      <c r="APB154"/>
      <c r="APC154"/>
      <c r="APD154"/>
      <c r="APE154"/>
      <c r="APF154"/>
      <c r="APG154"/>
      <c r="APH154"/>
      <c r="API154"/>
      <c r="APJ154"/>
      <c r="APK154"/>
      <c r="APL154"/>
      <c r="APM154"/>
      <c r="APN154"/>
      <c r="APO154"/>
      <c r="APP154"/>
      <c r="APQ154"/>
      <c r="APR154"/>
      <c r="APS154"/>
      <c r="APT154"/>
      <c r="APU154"/>
      <c r="APV154"/>
      <c r="APW154"/>
      <c r="APX154"/>
      <c r="APY154"/>
      <c r="APZ154"/>
      <c r="AQA154"/>
      <c r="AQB154"/>
      <c r="AQC154"/>
      <c r="AQD154"/>
      <c r="AQE154"/>
      <c r="AQF154"/>
      <c r="AQG154"/>
      <c r="AQH154"/>
      <c r="AQI154"/>
      <c r="AQJ154"/>
      <c r="AQK154"/>
      <c r="AQL154"/>
      <c r="AQM154"/>
      <c r="AQN154"/>
      <c r="AQO154"/>
      <c r="AQP154"/>
      <c r="AQQ154"/>
      <c r="AQR154"/>
      <c r="AQS154"/>
      <c r="AQT154"/>
      <c r="AQU154"/>
      <c r="AQV154"/>
      <c r="AQW154"/>
      <c r="AQX154"/>
      <c r="AQY154"/>
      <c r="AQZ154"/>
      <c r="ARA154"/>
      <c r="ARB154"/>
      <c r="ARC154"/>
      <c r="ARD154"/>
      <c r="ARE154"/>
      <c r="ARF154"/>
      <c r="ARG154"/>
      <c r="ARH154"/>
      <c r="ARI154"/>
      <c r="ARJ154"/>
      <c r="ARK154"/>
      <c r="ARL154"/>
      <c r="ARM154"/>
      <c r="ARN154"/>
      <c r="ARO154"/>
      <c r="ARP154"/>
      <c r="ARQ154"/>
      <c r="ARR154"/>
      <c r="ARS154"/>
      <c r="ART154"/>
      <c r="ARU154"/>
      <c r="ARV154"/>
      <c r="ARW154"/>
      <c r="ARX154"/>
      <c r="ARY154"/>
      <c r="ARZ154"/>
      <c r="ASA154"/>
      <c r="ASB154"/>
      <c r="ASC154"/>
      <c r="ASD154"/>
      <c r="ASE154"/>
      <c r="ASF154"/>
      <c r="ASG154"/>
      <c r="ASH154"/>
      <c r="ASI154"/>
      <c r="ASJ154"/>
      <c r="ASK154"/>
      <c r="ASL154"/>
      <c r="ASM154"/>
      <c r="ASN154"/>
      <c r="ASO154"/>
      <c r="ASP154"/>
      <c r="ASQ154"/>
      <c r="ASR154"/>
      <c r="ASS154"/>
      <c r="AST154"/>
      <c r="ASU154"/>
      <c r="ASV154"/>
      <c r="ASW154"/>
      <c r="ASX154"/>
      <c r="ASY154"/>
      <c r="ASZ154"/>
      <c r="ATA154"/>
      <c r="ATB154"/>
      <c r="ATC154"/>
      <c r="ATD154"/>
      <c r="ATE154"/>
      <c r="ATF154"/>
      <c r="ATG154"/>
      <c r="ATH154"/>
      <c r="ATI154"/>
      <c r="ATJ154"/>
      <c r="ATK154"/>
      <c r="ATL154"/>
      <c r="ATM154"/>
      <c r="ATN154"/>
      <c r="ATO154"/>
      <c r="ATP154"/>
      <c r="ATQ154"/>
      <c r="ATR154"/>
      <c r="ATS154"/>
      <c r="ATT154"/>
      <c r="ATU154"/>
      <c r="ATV154"/>
      <c r="ATW154"/>
      <c r="ATX154"/>
      <c r="ATY154"/>
      <c r="ATZ154"/>
      <c r="AUA154"/>
      <c r="AUB154"/>
      <c r="AUC154"/>
      <c r="AUD154"/>
      <c r="AUE154"/>
      <c r="AUF154"/>
      <c r="AUG154"/>
      <c r="AUH154"/>
      <c r="AUI154"/>
      <c r="AUJ154"/>
      <c r="AUK154"/>
      <c r="AUL154"/>
      <c r="AUM154"/>
      <c r="AUN154"/>
      <c r="AUO154"/>
      <c r="AUP154"/>
      <c r="AUQ154"/>
      <c r="AUR154"/>
      <c r="AUS154"/>
      <c r="AUT154"/>
      <c r="AUU154"/>
      <c r="AUV154"/>
      <c r="AUW154"/>
      <c r="AUX154"/>
      <c r="AUY154"/>
      <c r="AUZ154"/>
      <c r="AVA154"/>
      <c r="AVB154"/>
      <c r="AVC154"/>
      <c r="AVD154"/>
      <c r="AVE154"/>
      <c r="AVF154"/>
      <c r="AVG154"/>
      <c r="AVH154"/>
      <c r="AVI154"/>
      <c r="AVJ154"/>
      <c r="AVK154"/>
      <c r="AVL154"/>
      <c r="AVM154"/>
      <c r="AVN154"/>
      <c r="AVO154"/>
      <c r="AVP154"/>
      <c r="AVQ154"/>
      <c r="AVR154"/>
      <c r="AVS154"/>
      <c r="AVT154"/>
      <c r="AVU154"/>
      <c r="AVV154"/>
      <c r="AVW154"/>
      <c r="AVX154"/>
      <c r="AVY154"/>
      <c r="AVZ154"/>
      <c r="AWA154"/>
      <c r="AWB154"/>
      <c r="AWC154"/>
      <c r="AWD154"/>
      <c r="AWE154"/>
      <c r="AWF154"/>
      <c r="AWG154"/>
      <c r="AWH154"/>
      <c r="AWI154"/>
      <c r="AWJ154"/>
      <c r="AWK154"/>
      <c r="AWL154"/>
      <c r="AWM154"/>
      <c r="AWN154"/>
      <c r="AWO154"/>
      <c r="AWP154"/>
      <c r="AWQ154"/>
      <c r="AWR154"/>
      <c r="AWS154"/>
      <c r="AWT154"/>
      <c r="AWU154"/>
      <c r="AWV154"/>
      <c r="AWW154"/>
      <c r="AWX154"/>
      <c r="AWY154"/>
      <c r="AWZ154"/>
      <c r="AXA154"/>
      <c r="AXB154"/>
      <c r="AXC154"/>
      <c r="AXD154"/>
      <c r="AXE154"/>
      <c r="AXF154"/>
      <c r="AXG154"/>
      <c r="AXH154"/>
      <c r="AXI154"/>
      <c r="AXJ154"/>
      <c r="AXK154"/>
      <c r="AXL154"/>
      <c r="AXM154"/>
      <c r="AXN154"/>
      <c r="AXO154"/>
      <c r="AXP154"/>
      <c r="AXQ154"/>
      <c r="AXR154"/>
      <c r="AXS154"/>
      <c r="AXT154"/>
      <c r="AXU154"/>
      <c r="AXV154"/>
      <c r="AXW154"/>
      <c r="AXX154"/>
      <c r="AXY154"/>
      <c r="AXZ154"/>
      <c r="AYA154"/>
      <c r="AYB154"/>
      <c r="AYC154"/>
      <c r="AYD154"/>
      <c r="AYE154"/>
      <c r="AYF154"/>
      <c r="AYG154"/>
      <c r="AYH154"/>
      <c r="AYI154"/>
      <c r="AYJ154"/>
      <c r="AYK154"/>
      <c r="AYL154"/>
      <c r="AYM154"/>
      <c r="AYN154"/>
      <c r="AYO154"/>
      <c r="AYP154"/>
      <c r="AYQ154"/>
      <c r="AYR154"/>
      <c r="AYS154"/>
      <c r="AYT154"/>
      <c r="AYU154"/>
      <c r="AYV154"/>
      <c r="AYW154"/>
      <c r="AYX154"/>
      <c r="AYY154"/>
      <c r="AYZ154"/>
      <c r="AZA154"/>
      <c r="AZB154"/>
      <c r="AZC154"/>
      <c r="AZD154"/>
      <c r="AZE154"/>
      <c r="AZF154"/>
      <c r="AZG154"/>
      <c r="AZH154"/>
      <c r="AZI154"/>
      <c r="AZJ154"/>
      <c r="AZK154"/>
      <c r="AZL154"/>
      <c r="AZM154"/>
      <c r="AZN154"/>
      <c r="AZO154"/>
      <c r="AZP154"/>
      <c r="AZQ154"/>
      <c r="AZR154"/>
      <c r="AZS154"/>
      <c r="AZT154"/>
      <c r="AZU154"/>
      <c r="AZV154"/>
      <c r="AZW154"/>
      <c r="AZX154"/>
      <c r="AZY154"/>
      <c r="AZZ154"/>
      <c r="BAA154"/>
      <c r="BAB154"/>
      <c r="BAC154"/>
      <c r="BAD154"/>
      <c r="BAE154"/>
      <c r="BAF154"/>
      <c r="BAG154"/>
      <c r="BAH154"/>
      <c r="BAI154"/>
      <c r="BAJ154"/>
      <c r="BAK154"/>
      <c r="BAL154"/>
      <c r="BAM154"/>
      <c r="BAN154"/>
      <c r="BAO154"/>
      <c r="BAP154"/>
      <c r="BAQ154"/>
      <c r="BAR154"/>
      <c r="BAS154"/>
      <c r="BAT154"/>
      <c r="BAU154"/>
      <c r="BAV154"/>
      <c r="BAW154"/>
      <c r="BAX154"/>
      <c r="BAY154"/>
      <c r="BAZ154"/>
      <c r="BBA154"/>
      <c r="BBB154"/>
      <c r="BBC154"/>
      <c r="BBD154"/>
      <c r="BBE154"/>
      <c r="BBF154"/>
      <c r="BBG154"/>
      <c r="BBH154"/>
      <c r="BBI154"/>
      <c r="BBJ154"/>
      <c r="BBK154"/>
      <c r="BBL154"/>
      <c r="BBM154"/>
      <c r="BBN154"/>
      <c r="BBO154"/>
      <c r="BBP154"/>
      <c r="BBQ154"/>
      <c r="BBR154"/>
      <c r="BBS154"/>
      <c r="BBT154"/>
      <c r="BBU154"/>
      <c r="BBV154"/>
      <c r="BBW154"/>
      <c r="BBX154"/>
      <c r="BBY154"/>
      <c r="BBZ154"/>
      <c r="BCA154"/>
      <c r="BCB154"/>
      <c r="BCC154"/>
      <c r="BCD154"/>
      <c r="BCE154"/>
      <c r="BCF154"/>
      <c r="BCG154"/>
      <c r="BCH154"/>
      <c r="BCI154"/>
      <c r="BCJ154"/>
      <c r="BCK154"/>
      <c r="BCL154"/>
      <c r="BCM154"/>
      <c r="BCN154"/>
      <c r="BCO154"/>
      <c r="BCP154"/>
      <c r="BCQ154"/>
      <c r="BCR154"/>
      <c r="BCS154"/>
      <c r="BCT154"/>
      <c r="BCU154"/>
      <c r="BCV154"/>
      <c r="BCW154"/>
      <c r="BCX154"/>
      <c r="BCY154"/>
      <c r="BCZ154"/>
      <c r="BDA154"/>
      <c r="BDB154"/>
      <c r="BDC154"/>
      <c r="BDD154"/>
      <c r="BDE154"/>
      <c r="BDF154"/>
      <c r="BDG154"/>
      <c r="BDH154"/>
      <c r="BDI154"/>
      <c r="BDJ154"/>
      <c r="BDK154"/>
      <c r="BDL154"/>
      <c r="BDM154"/>
      <c r="BDN154"/>
      <c r="BDO154"/>
      <c r="BDP154"/>
      <c r="BDQ154"/>
      <c r="BDR154"/>
      <c r="BDS154"/>
      <c r="BDT154"/>
      <c r="BDU154"/>
      <c r="BDV154"/>
      <c r="BDW154"/>
      <c r="BDX154"/>
      <c r="BDY154"/>
      <c r="BDZ154"/>
      <c r="BEA154"/>
      <c r="BEB154"/>
      <c r="BEC154"/>
      <c r="BED154"/>
      <c r="BEE154"/>
      <c r="BEF154"/>
      <c r="BEG154"/>
      <c r="BEH154"/>
      <c r="BEI154"/>
      <c r="BEJ154"/>
      <c r="BEK154"/>
      <c r="BEL154"/>
      <c r="BEM154"/>
      <c r="BEN154"/>
      <c r="BEO154"/>
      <c r="BEP154"/>
      <c r="BEQ154"/>
      <c r="BER154"/>
      <c r="BES154"/>
      <c r="BET154"/>
      <c r="BEU154"/>
      <c r="BEV154"/>
      <c r="BEW154"/>
      <c r="BEX154"/>
      <c r="BEY154"/>
      <c r="BEZ154"/>
      <c r="BFA154"/>
      <c r="BFB154"/>
      <c r="BFC154"/>
      <c r="BFD154"/>
      <c r="BFE154"/>
      <c r="BFF154"/>
      <c r="BFG154"/>
      <c r="BFH154"/>
      <c r="BFI154"/>
      <c r="BFJ154"/>
      <c r="BFK154"/>
      <c r="BFL154"/>
      <c r="BFM154"/>
      <c r="BFN154"/>
      <c r="BFO154"/>
      <c r="BFP154"/>
      <c r="BFQ154"/>
      <c r="BFR154"/>
      <c r="BFS154"/>
      <c r="BFT154"/>
      <c r="BFU154"/>
      <c r="BFV154"/>
      <c r="BFW154"/>
      <c r="BFX154"/>
      <c r="BFY154"/>
      <c r="BFZ154"/>
      <c r="BGA154"/>
      <c r="BGB154"/>
      <c r="BGC154"/>
      <c r="BGD154"/>
      <c r="BGE154"/>
      <c r="BGF154"/>
      <c r="BGG154"/>
      <c r="BGH154"/>
      <c r="BGI154"/>
      <c r="BGJ154"/>
      <c r="BGK154"/>
      <c r="BGL154"/>
      <c r="BGM154"/>
      <c r="BGN154"/>
      <c r="BGO154"/>
      <c r="BGP154"/>
      <c r="BGQ154"/>
      <c r="BGR154"/>
      <c r="BGS154"/>
      <c r="BGT154"/>
      <c r="BGU154"/>
      <c r="BGV154"/>
      <c r="BGW154"/>
      <c r="BGX154"/>
      <c r="BGY154"/>
      <c r="BGZ154"/>
      <c r="BHA154"/>
      <c r="BHB154"/>
      <c r="BHC154"/>
      <c r="BHD154"/>
      <c r="BHE154"/>
      <c r="BHF154"/>
      <c r="BHG154"/>
      <c r="BHH154"/>
      <c r="BHI154"/>
      <c r="BHJ154"/>
      <c r="BHK154"/>
      <c r="BHL154"/>
      <c r="BHM154"/>
      <c r="BHN154"/>
      <c r="BHO154"/>
      <c r="BHP154"/>
      <c r="BHQ154"/>
      <c r="BHR154"/>
      <c r="BHS154"/>
      <c r="BHT154"/>
      <c r="BHU154"/>
      <c r="BHV154"/>
      <c r="BHW154"/>
      <c r="BHX154"/>
      <c r="BHY154"/>
      <c r="BHZ154"/>
      <c r="BIA154"/>
      <c r="BIB154"/>
      <c r="BIC154"/>
      <c r="BID154"/>
      <c r="BIE154"/>
      <c r="BIF154"/>
      <c r="BIG154"/>
      <c r="BIH154"/>
      <c r="BII154"/>
      <c r="BIJ154"/>
      <c r="BIK154"/>
      <c r="BIL154"/>
      <c r="BIM154"/>
      <c r="BIN154"/>
      <c r="BIO154"/>
      <c r="BIP154"/>
      <c r="BIQ154"/>
      <c r="BIR154"/>
      <c r="BIS154"/>
      <c r="BIT154"/>
      <c r="BIU154"/>
      <c r="BIV154"/>
      <c r="BIW154"/>
      <c r="BIX154"/>
      <c r="BIY154"/>
      <c r="BIZ154"/>
      <c r="BJA154"/>
      <c r="BJB154"/>
      <c r="BJC154"/>
      <c r="BJD154"/>
      <c r="BJE154"/>
      <c r="BJF154"/>
      <c r="BJG154"/>
      <c r="BJH154"/>
      <c r="BJI154"/>
      <c r="BJJ154"/>
      <c r="BJK154"/>
      <c r="BJL154"/>
      <c r="BJM154"/>
      <c r="BJN154"/>
      <c r="BJO154"/>
      <c r="BJP154"/>
      <c r="BJQ154"/>
      <c r="BJR154"/>
      <c r="BJS154"/>
      <c r="BJT154"/>
      <c r="BJU154"/>
      <c r="BJV154"/>
      <c r="BJW154"/>
      <c r="BJX154"/>
      <c r="BJY154"/>
      <c r="BJZ154"/>
      <c r="BKA154"/>
      <c r="BKB154"/>
      <c r="BKC154"/>
      <c r="BKD154"/>
      <c r="BKE154"/>
      <c r="BKF154"/>
      <c r="BKG154"/>
      <c r="BKH154"/>
      <c r="BKI154"/>
      <c r="BKJ154"/>
      <c r="BKK154"/>
      <c r="BKL154"/>
      <c r="BKM154"/>
      <c r="BKN154"/>
      <c r="BKO154"/>
      <c r="BKP154"/>
      <c r="BKQ154"/>
      <c r="BKR154"/>
      <c r="BKS154"/>
      <c r="BKT154"/>
      <c r="BKU154"/>
      <c r="BKV154"/>
      <c r="BKW154"/>
      <c r="BKX154"/>
      <c r="BKY154"/>
      <c r="BKZ154"/>
      <c r="BLA154"/>
      <c r="BLB154"/>
      <c r="BLC154"/>
      <c r="BLD154"/>
      <c r="BLE154"/>
      <c r="BLF154"/>
      <c r="BLG154"/>
      <c r="BLH154"/>
      <c r="BLI154"/>
      <c r="BLJ154"/>
      <c r="BLK154"/>
      <c r="BLL154"/>
      <c r="BLM154"/>
      <c r="BLN154"/>
      <c r="BLO154"/>
      <c r="BLP154"/>
      <c r="BLQ154"/>
      <c r="BLR154"/>
      <c r="BLS154"/>
      <c r="BLT154"/>
      <c r="BLU154"/>
      <c r="BLV154"/>
      <c r="BLW154"/>
      <c r="BLX154"/>
      <c r="BLY154"/>
      <c r="BLZ154"/>
      <c r="BMA154"/>
      <c r="BMB154"/>
      <c r="BMC154"/>
      <c r="BMD154"/>
      <c r="BME154"/>
      <c r="BMF154"/>
      <c r="BMG154"/>
      <c r="BMH154"/>
      <c r="BMI154"/>
      <c r="BMJ154"/>
      <c r="BMK154"/>
      <c r="BML154"/>
      <c r="BMM154"/>
      <c r="BMN154"/>
      <c r="BMO154"/>
      <c r="BMP154"/>
      <c r="BMQ154"/>
      <c r="BMR154"/>
      <c r="BMS154"/>
      <c r="BMT154"/>
      <c r="BMU154"/>
      <c r="BMV154"/>
      <c r="BMW154"/>
      <c r="BMX154"/>
      <c r="BMY154"/>
      <c r="BMZ154"/>
      <c r="BNA154"/>
      <c r="BNB154"/>
      <c r="BNC154"/>
      <c r="BND154"/>
      <c r="BNE154"/>
      <c r="BNF154"/>
      <c r="BNG154"/>
      <c r="BNH154"/>
      <c r="BNI154"/>
      <c r="BNJ154"/>
      <c r="BNK154"/>
      <c r="BNL154"/>
      <c r="BNM154"/>
      <c r="BNN154"/>
      <c r="BNO154"/>
      <c r="BNP154"/>
      <c r="BNQ154"/>
      <c r="BNR154"/>
      <c r="BNS154"/>
      <c r="BNT154"/>
      <c r="BNU154"/>
      <c r="BNV154"/>
      <c r="BNW154"/>
      <c r="BNX154"/>
      <c r="BNY154"/>
      <c r="BNZ154"/>
      <c r="BOA154"/>
      <c r="BOB154"/>
      <c r="BOC154"/>
      <c r="BOD154"/>
      <c r="BOE154"/>
      <c r="BOF154"/>
      <c r="BOG154"/>
      <c r="BOH154"/>
      <c r="BOI154"/>
      <c r="BOJ154"/>
      <c r="BOK154"/>
      <c r="BOL154"/>
      <c r="BOM154"/>
      <c r="BON154"/>
      <c r="BOO154"/>
      <c r="BOP154"/>
      <c r="BOQ154"/>
      <c r="BOR154"/>
      <c r="BOS154"/>
      <c r="BOT154"/>
      <c r="BOU154"/>
      <c r="BOV154"/>
      <c r="BOW154"/>
      <c r="BOX154"/>
      <c r="BOY154"/>
      <c r="BOZ154"/>
      <c r="BPA154"/>
      <c r="BPB154"/>
      <c r="BPC154"/>
      <c r="BPD154"/>
      <c r="BPE154"/>
      <c r="BPF154"/>
      <c r="BPG154"/>
      <c r="BPH154"/>
      <c r="BPI154"/>
      <c r="BPJ154"/>
      <c r="BPK154"/>
      <c r="BPL154"/>
      <c r="BPM154"/>
      <c r="BPN154"/>
      <c r="BPO154"/>
      <c r="BPP154"/>
      <c r="BPQ154"/>
      <c r="BPR154"/>
      <c r="BPS154"/>
      <c r="BPT154"/>
      <c r="BPU154"/>
      <c r="BPV154"/>
      <c r="BPW154"/>
      <c r="BPX154"/>
      <c r="BPY154"/>
      <c r="BPZ154"/>
      <c r="BQA154"/>
      <c r="BQB154"/>
      <c r="BQC154"/>
      <c r="BQD154"/>
      <c r="BQE154"/>
      <c r="BQF154"/>
      <c r="BQG154"/>
      <c r="BQH154"/>
      <c r="BQI154"/>
      <c r="BQJ154"/>
      <c r="BQK154"/>
      <c r="BQL154"/>
      <c r="BQM154"/>
      <c r="BQN154"/>
      <c r="BQO154"/>
      <c r="BQP154"/>
      <c r="BQQ154"/>
      <c r="BQR154"/>
      <c r="BQS154"/>
      <c r="BQT154"/>
      <c r="BQU154"/>
      <c r="BQV154"/>
      <c r="BQW154"/>
      <c r="BQX154"/>
      <c r="BQY154"/>
      <c r="BQZ154"/>
      <c r="BRA154"/>
      <c r="BRB154"/>
      <c r="BRC154"/>
      <c r="BRD154"/>
      <c r="BRE154"/>
      <c r="BRF154"/>
      <c r="BRG154"/>
      <c r="BRH154"/>
      <c r="BRI154"/>
      <c r="BRJ154"/>
      <c r="BRK154"/>
      <c r="BRL154"/>
      <c r="BRM154"/>
      <c r="BRN154"/>
      <c r="BRO154"/>
      <c r="BRP154"/>
      <c r="BRQ154"/>
      <c r="BRR154"/>
      <c r="BRS154"/>
      <c r="BRT154"/>
      <c r="BRU154"/>
      <c r="BRV154"/>
      <c r="BRW154"/>
      <c r="BRX154"/>
      <c r="BRY154"/>
      <c r="BRZ154"/>
      <c r="BSA154"/>
      <c r="BSB154"/>
      <c r="BSC154"/>
      <c r="BSD154"/>
      <c r="BSE154"/>
      <c r="BSF154"/>
      <c r="BSG154"/>
      <c r="BSH154"/>
      <c r="BSI154"/>
      <c r="BSJ154"/>
      <c r="BSK154"/>
      <c r="BSL154"/>
      <c r="BSM154"/>
      <c r="BSN154"/>
      <c r="BSO154"/>
      <c r="BSP154"/>
      <c r="BSQ154"/>
      <c r="BSR154"/>
      <c r="BSS154"/>
      <c r="BST154"/>
      <c r="BSU154"/>
      <c r="BSV154"/>
      <c r="BSW154"/>
      <c r="BSX154"/>
      <c r="BSY154"/>
      <c r="BSZ154"/>
      <c r="BTA154"/>
      <c r="BTB154"/>
      <c r="BTC154"/>
      <c r="BTD154"/>
      <c r="BTE154"/>
      <c r="BTF154"/>
      <c r="BTG154"/>
      <c r="BTH154"/>
      <c r="BTI154"/>
      <c r="BTJ154"/>
      <c r="BTK154"/>
      <c r="BTL154"/>
      <c r="BTM154"/>
      <c r="BTN154"/>
      <c r="BTO154"/>
      <c r="BTP154"/>
      <c r="BTQ154"/>
      <c r="BTR154"/>
      <c r="BTS154"/>
      <c r="BTT154"/>
      <c r="BTU154"/>
      <c r="BTV154"/>
      <c r="BTW154"/>
      <c r="BTX154"/>
      <c r="BTY154"/>
      <c r="BTZ154"/>
      <c r="BUA154"/>
      <c r="BUB154"/>
      <c r="BUC154"/>
      <c r="BUD154"/>
      <c r="BUE154"/>
      <c r="BUF154"/>
      <c r="BUG154"/>
      <c r="BUH154"/>
      <c r="BUI154"/>
      <c r="BUJ154"/>
      <c r="BUK154"/>
      <c r="BUL154"/>
      <c r="BUM154"/>
      <c r="BUN154"/>
      <c r="BUO154"/>
      <c r="BUP154"/>
      <c r="BUQ154"/>
      <c r="BUR154"/>
      <c r="BUS154"/>
      <c r="BUT154"/>
      <c r="BUU154"/>
      <c r="BUV154"/>
      <c r="BUW154"/>
      <c r="BUX154"/>
      <c r="BUY154"/>
      <c r="BUZ154"/>
      <c r="BVA154"/>
      <c r="BVB154"/>
      <c r="BVC154"/>
      <c r="BVD154"/>
      <c r="BVE154"/>
      <c r="BVF154"/>
      <c r="BVG154"/>
      <c r="BVH154"/>
      <c r="BVI154"/>
      <c r="BVJ154"/>
      <c r="BVK154"/>
      <c r="BVL154"/>
      <c r="BVM154"/>
      <c r="BVN154"/>
      <c r="BVO154"/>
      <c r="BVP154"/>
      <c r="BVQ154"/>
      <c r="BVR154"/>
      <c r="BVS154"/>
      <c r="BVT154"/>
      <c r="BVU154"/>
      <c r="BVV154"/>
      <c r="BVW154"/>
      <c r="BVX154"/>
      <c r="BVY154"/>
      <c r="BVZ154"/>
      <c r="BWA154"/>
      <c r="BWB154"/>
      <c r="BWC154"/>
      <c r="BWD154"/>
      <c r="BWE154"/>
      <c r="BWF154"/>
      <c r="BWG154"/>
      <c r="BWH154"/>
      <c r="BWI154"/>
      <c r="BWJ154"/>
      <c r="BWK154"/>
      <c r="BWL154"/>
      <c r="BWM154"/>
      <c r="BWN154"/>
      <c r="BWO154"/>
      <c r="BWP154"/>
      <c r="BWQ154"/>
      <c r="BWR154"/>
      <c r="BWS154"/>
      <c r="BWT154"/>
      <c r="BWU154"/>
      <c r="BWV154"/>
      <c r="BWW154"/>
      <c r="BWX154"/>
      <c r="BWY154"/>
      <c r="BWZ154"/>
      <c r="BXA154"/>
      <c r="BXB154"/>
      <c r="BXC154"/>
      <c r="BXD154"/>
      <c r="BXE154"/>
      <c r="BXF154"/>
      <c r="BXG154"/>
      <c r="BXH154"/>
      <c r="BXI154"/>
      <c r="BXJ154"/>
      <c r="BXK154"/>
      <c r="BXL154"/>
      <c r="BXM154"/>
      <c r="BXN154"/>
      <c r="BXO154"/>
      <c r="BXP154"/>
      <c r="BXQ154"/>
      <c r="BXR154"/>
      <c r="BXS154"/>
      <c r="BXT154"/>
      <c r="BXU154"/>
      <c r="BXV154"/>
      <c r="BXW154"/>
      <c r="BXX154"/>
      <c r="BXY154"/>
      <c r="BXZ154"/>
      <c r="BYA154"/>
      <c r="BYB154"/>
      <c r="BYC154"/>
      <c r="BYD154"/>
      <c r="BYE154"/>
      <c r="BYF154"/>
      <c r="BYG154"/>
      <c r="BYH154"/>
      <c r="BYI154"/>
      <c r="BYJ154"/>
      <c r="BYK154"/>
      <c r="BYL154"/>
      <c r="BYM154"/>
      <c r="BYN154"/>
      <c r="BYO154"/>
      <c r="BYP154"/>
      <c r="BYQ154"/>
      <c r="BYR154"/>
      <c r="BYS154"/>
      <c r="BYT154"/>
      <c r="BYU154"/>
      <c r="BYV154"/>
      <c r="BYW154"/>
      <c r="BYX154"/>
      <c r="BYY154"/>
      <c r="BYZ154"/>
      <c r="BZA154"/>
      <c r="BZB154"/>
      <c r="BZC154"/>
      <c r="BZD154"/>
      <c r="BZE154"/>
      <c r="BZF154"/>
      <c r="BZG154"/>
      <c r="BZH154"/>
      <c r="BZI154"/>
      <c r="BZJ154"/>
      <c r="BZK154"/>
      <c r="BZL154"/>
      <c r="BZM154"/>
      <c r="BZN154"/>
      <c r="BZO154"/>
      <c r="BZP154"/>
      <c r="BZQ154"/>
      <c r="BZR154"/>
      <c r="BZS154"/>
      <c r="BZT154"/>
      <c r="BZU154"/>
      <c r="BZV154"/>
      <c r="BZW154"/>
      <c r="BZX154"/>
      <c r="BZY154"/>
      <c r="BZZ154"/>
      <c r="CAA154"/>
      <c r="CAB154"/>
      <c r="CAC154"/>
      <c r="CAD154"/>
      <c r="CAE154"/>
      <c r="CAF154"/>
      <c r="CAG154"/>
      <c r="CAH154"/>
      <c r="CAI154"/>
      <c r="CAJ154"/>
      <c r="CAK154"/>
      <c r="CAL154"/>
      <c r="CAM154"/>
      <c r="CAN154"/>
      <c r="CAO154"/>
      <c r="CAP154"/>
      <c r="CAQ154"/>
      <c r="CAR154"/>
      <c r="CAS154"/>
      <c r="CAT154"/>
      <c r="CAU154"/>
      <c r="CAV154"/>
      <c r="CAW154"/>
      <c r="CAX154"/>
      <c r="CAY154"/>
      <c r="CAZ154"/>
      <c r="CBA154"/>
      <c r="CBB154"/>
      <c r="CBC154"/>
      <c r="CBD154"/>
      <c r="CBE154"/>
      <c r="CBF154"/>
      <c r="CBG154"/>
      <c r="CBH154"/>
      <c r="CBI154"/>
      <c r="CBJ154"/>
      <c r="CBK154"/>
      <c r="CBL154"/>
      <c r="CBM154"/>
      <c r="CBN154"/>
      <c r="CBO154"/>
      <c r="CBP154"/>
      <c r="CBQ154"/>
      <c r="CBR154"/>
      <c r="CBS154"/>
      <c r="CBT154"/>
      <c r="CBU154"/>
      <c r="CBV154"/>
      <c r="CBW154"/>
      <c r="CBX154"/>
      <c r="CBY154"/>
      <c r="CBZ154"/>
      <c r="CCA154"/>
      <c r="CCB154"/>
      <c r="CCC154"/>
      <c r="CCD154"/>
      <c r="CCE154"/>
      <c r="CCF154"/>
      <c r="CCG154"/>
      <c r="CCH154"/>
      <c r="CCI154"/>
      <c r="CCJ154"/>
      <c r="CCK154"/>
      <c r="CCL154"/>
      <c r="CCM154"/>
      <c r="CCN154"/>
      <c r="CCO154"/>
      <c r="CCP154"/>
      <c r="CCQ154"/>
      <c r="CCR154"/>
      <c r="CCS154"/>
      <c r="CCT154"/>
      <c r="CCU154"/>
      <c r="CCV154"/>
      <c r="CCW154"/>
      <c r="CCX154"/>
      <c r="CCY154"/>
      <c r="CCZ154"/>
      <c r="CDA154"/>
      <c r="CDB154"/>
      <c r="CDC154"/>
      <c r="CDD154"/>
      <c r="CDE154"/>
      <c r="CDF154"/>
      <c r="CDG154"/>
      <c r="CDH154"/>
      <c r="CDI154"/>
      <c r="CDJ154"/>
      <c r="CDK154"/>
      <c r="CDL154"/>
      <c r="CDM154"/>
      <c r="CDN154"/>
      <c r="CDO154"/>
      <c r="CDP154"/>
      <c r="CDQ154"/>
      <c r="CDR154"/>
      <c r="CDS154"/>
      <c r="CDT154"/>
      <c r="CDU154"/>
      <c r="CDV154"/>
      <c r="CDW154"/>
      <c r="CDX154"/>
      <c r="CDY154"/>
      <c r="CDZ154"/>
      <c r="CEA154"/>
      <c r="CEB154"/>
      <c r="CEC154"/>
      <c r="CED154"/>
      <c r="CEE154"/>
      <c r="CEF154"/>
      <c r="CEG154"/>
      <c r="CEH154"/>
      <c r="CEI154"/>
      <c r="CEJ154"/>
      <c r="CEK154"/>
      <c r="CEL154"/>
      <c r="CEM154"/>
      <c r="CEN154"/>
      <c r="CEO154"/>
      <c r="CEP154"/>
      <c r="CEQ154"/>
      <c r="CER154"/>
      <c r="CES154"/>
      <c r="CET154"/>
      <c r="CEU154"/>
      <c r="CEV154"/>
      <c r="CEW154"/>
      <c r="CEX154"/>
      <c r="CEY154"/>
      <c r="CEZ154"/>
      <c r="CFA154"/>
      <c r="CFB154"/>
      <c r="CFC154"/>
      <c r="CFD154"/>
      <c r="CFE154"/>
      <c r="CFF154"/>
      <c r="CFG154"/>
      <c r="CFH154"/>
      <c r="CFI154"/>
      <c r="CFJ154"/>
      <c r="CFK154"/>
      <c r="CFL154"/>
      <c r="CFM154"/>
      <c r="CFN154"/>
      <c r="CFO154"/>
      <c r="CFP154"/>
      <c r="CFQ154"/>
      <c r="CFR154"/>
      <c r="CFS154"/>
      <c r="CFT154"/>
      <c r="CFU154"/>
      <c r="CFV154"/>
      <c r="CFW154"/>
      <c r="CFX154"/>
      <c r="CFY154"/>
      <c r="CFZ154"/>
      <c r="CGA154"/>
      <c r="CGB154"/>
      <c r="CGC154"/>
      <c r="CGD154"/>
      <c r="CGE154"/>
      <c r="CGF154"/>
      <c r="CGG154"/>
      <c r="CGH154"/>
      <c r="CGI154"/>
      <c r="CGJ154"/>
      <c r="CGK154"/>
      <c r="CGL154"/>
      <c r="CGM154"/>
      <c r="CGN154"/>
      <c r="CGO154"/>
      <c r="CGP154"/>
      <c r="CGQ154"/>
      <c r="CGR154"/>
      <c r="CGS154"/>
      <c r="CGT154"/>
      <c r="CGU154"/>
      <c r="CGV154"/>
      <c r="CGW154"/>
      <c r="CGX154"/>
      <c r="CGY154"/>
      <c r="CGZ154"/>
      <c r="CHA154"/>
      <c r="CHB154"/>
      <c r="CHC154"/>
      <c r="CHD154"/>
      <c r="CHE154"/>
      <c r="CHF154"/>
      <c r="CHG154"/>
      <c r="CHH154"/>
      <c r="CHI154"/>
      <c r="CHJ154"/>
      <c r="CHK154"/>
      <c r="CHL154"/>
      <c r="CHM154"/>
      <c r="CHN154"/>
      <c r="CHO154"/>
      <c r="CHP154"/>
      <c r="CHQ154"/>
      <c r="CHR154"/>
      <c r="CHS154"/>
      <c r="CHT154"/>
      <c r="CHU154"/>
      <c r="CHV154"/>
      <c r="CHW154"/>
      <c r="CHX154"/>
      <c r="CHY154"/>
      <c r="CHZ154"/>
      <c r="CIA154"/>
      <c r="CIB154"/>
      <c r="CIC154"/>
      <c r="CID154"/>
      <c r="CIE154"/>
      <c r="CIF154"/>
      <c r="CIG154"/>
      <c r="CIH154"/>
      <c r="CII154"/>
      <c r="CIJ154"/>
      <c r="CIK154"/>
      <c r="CIL154"/>
      <c r="CIM154"/>
      <c r="CIN154"/>
      <c r="CIO154"/>
      <c r="CIP154"/>
      <c r="CIQ154"/>
      <c r="CIR154"/>
      <c r="CIS154"/>
      <c r="CIT154"/>
      <c r="CIU154"/>
      <c r="CIV154"/>
      <c r="CIW154"/>
      <c r="CIX154"/>
      <c r="CIY154"/>
      <c r="CIZ154"/>
      <c r="CJA154"/>
      <c r="CJB154"/>
      <c r="CJC154"/>
      <c r="CJD154"/>
      <c r="CJE154"/>
      <c r="CJF154"/>
      <c r="CJG154"/>
      <c r="CJH154"/>
      <c r="CJI154"/>
      <c r="CJJ154"/>
      <c r="CJK154"/>
      <c r="CJL154"/>
      <c r="CJM154"/>
      <c r="CJN154"/>
      <c r="CJO154"/>
      <c r="CJP154"/>
      <c r="CJQ154"/>
      <c r="CJR154"/>
      <c r="CJS154"/>
      <c r="CJT154"/>
      <c r="CJU154"/>
      <c r="CJV154"/>
      <c r="CJW154"/>
      <c r="CJX154"/>
      <c r="CJY154"/>
      <c r="CJZ154"/>
      <c r="CKA154"/>
      <c r="CKB154"/>
      <c r="CKC154"/>
      <c r="CKD154"/>
      <c r="CKE154"/>
      <c r="CKF154"/>
      <c r="CKG154"/>
      <c r="CKH154"/>
      <c r="CKI154"/>
      <c r="CKJ154"/>
      <c r="CKK154"/>
      <c r="CKL154"/>
      <c r="CKM154"/>
      <c r="CKN154"/>
      <c r="CKO154"/>
      <c r="CKP154"/>
      <c r="CKQ154"/>
      <c r="CKR154"/>
      <c r="CKS154"/>
      <c r="CKT154"/>
      <c r="CKU154"/>
      <c r="CKV154"/>
      <c r="CKW154"/>
      <c r="CKX154"/>
      <c r="CKY154"/>
      <c r="CKZ154"/>
      <c r="CLA154"/>
      <c r="CLB154"/>
      <c r="CLC154"/>
      <c r="CLD154"/>
      <c r="CLE154"/>
      <c r="CLF154"/>
      <c r="CLG154"/>
      <c r="CLH154"/>
      <c r="CLI154"/>
      <c r="CLJ154"/>
      <c r="CLK154"/>
      <c r="CLL154"/>
      <c r="CLM154"/>
      <c r="CLN154"/>
      <c r="CLO154"/>
      <c r="CLP154"/>
      <c r="CLQ154"/>
      <c r="CLR154"/>
      <c r="CLS154"/>
      <c r="CLT154"/>
      <c r="CLU154"/>
      <c r="CLV154"/>
      <c r="CLW154"/>
      <c r="CLX154"/>
      <c r="CLY154"/>
      <c r="CLZ154"/>
      <c r="CMA154"/>
      <c r="CMB154"/>
      <c r="CMC154"/>
      <c r="CMD154"/>
      <c r="CME154"/>
      <c r="CMF154"/>
      <c r="CMG154"/>
      <c r="CMH154"/>
      <c r="CMI154"/>
      <c r="CMJ154"/>
      <c r="CMK154"/>
      <c r="CML154"/>
      <c r="CMM154"/>
      <c r="CMN154"/>
      <c r="CMO154"/>
      <c r="CMP154"/>
      <c r="CMQ154"/>
      <c r="CMR154"/>
      <c r="CMS154"/>
      <c r="CMT154"/>
      <c r="CMU154"/>
      <c r="CMV154"/>
      <c r="CMW154"/>
      <c r="CMX154"/>
      <c r="CMY154"/>
      <c r="CMZ154"/>
      <c r="CNA154"/>
      <c r="CNB154"/>
      <c r="CNC154"/>
      <c r="CND154"/>
      <c r="CNE154"/>
      <c r="CNF154"/>
      <c r="CNG154"/>
      <c r="CNH154"/>
      <c r="CNI154"/>
      <c r="CNJ154"/>
      <c r="CNK154"/>
      <c r="CNL154"/>
      <c r="CNM154"/>
      <c r="CNN154"/>
      <c r="CNO154"/>
      <c r="CNP154"/>
      <c r="CNQ154"/>
      <c r="CNR154"/>
      <c r="CNS154"/>
      <c r="CNT154"/>
      <c r="CNU154"/>
      <c r="CNV154"/>
      <c r="CNW154"/>
      <c r="CNX154"/>
      <c r="CNY154"/>
      <c r="CNZ154"/>
      <c r="COA154"/>
      <c r="COB154"/>
      <c r="COC154"/>
      <c r="COD154"/>
      <c r="COE154"/>
      <c r="COF154"/>
      <c r="COG154"/>
      <c r="COH154"/>
      <c r="COI154"/>
      <c r="COJ154"/>
      <c r="COK154"/>
      <c r="COL154"/>
      <c r="COM154"/>
      <c r="CON154"/>
      <c r="COO154"/>
      <c r="COP154"/>
      <c r="COQ154"/>
      <c r="COR154"/>
      <c r="COS154"/>
      <c r="COT154"/>
      <c r="COU154"/>
      <c r="COV154"/>
      <c r="COW154"/>
      <c r="COX154"/>
      <c r="COY154"/>
      <c r="COZ154"/>
      <c r="CPA154"/>
      <c r="CPB154"/>
      <c r="CPC154"/>
      <c r="CPD154"/>
      <c r="CPE154"/>
      <c r="CPF154"/>
      <c r="CPG154"/>
      <c r="CPH154"/>
      <c r="CPI154"/>
      <c r="CPJ154"/>
      <c r="CPK154"/>
      <c r="CPL154"/>
      <c r="CPM154"/>
      <c r="CPN154"/>
      <c r="CPO154"/>
      <c r="CPP154"/>
      <c r="CPQ154"/>
      <c r="CPR154"/>
      <c r="CPS154"/>
      <c r="CPT154"/>
      <c r="CPU154"/>
      <c r="CPV154"/>
      <c r="CPW154"/>
      <c r="CPX154"/>
      <c r="CPY154"/>
      <c r="CPZ154"/>
      <c r="CQA154"/>
      <c r="CQB154"/>
      <c r="CQC154"/>
      <c r="CQD154"/>
      <c r="CQE154"/>
      <c r="CQF154"/>
      <c r="CQG154"/>
      <c r="CQH154"/>
      <c r="CQI154"/>
      <c r="CQJ154"/>
      <c r="CQK154"/>
      <c r="CQL154"/>
      <c r="CQM154"/>
      <c r="CQN154"/>
      <c r="CQO154"/>
      <c r="CQP154"/>
      <c r="CQQ154"/>
      <c r="CQR154"/>
      <c r="CQS154"/>
      <c r="CQT154"/>
      <c r="CQU154"/>
      <c r="CQV154"/>
      <c r="CQW154"/>
      <c r="CQX154"/>
      <c r="CQY154"/>
      <c r="CQZ154"/>
      <c r="CRA154"/>
      <c r="CRB154"/>
      <c r="CRC154"/>
      <c r="CRD154"/>
      <c r="CRE154"/>
      <c r="CRF154"/>
      <c r="CRG154"/>
      <c r="CRH154"/>
      <c r="CRI154"/>
      <c r="CRJ154"/>
      <c r="CRK154"/>
      <c r="CRL154"/>
      <c r="CRM154"/>
    </row>
    <row r="155" spans="1:2509" x14ac:dyDescent="0.35">
      <c r="A155" s="314"/>
      <c r="B155" s="52" t="s">
        <v>144</v>
      </c>
      <c r="C155" s="88" t="s">
        <v>133</v>
      </c>
      <c r="D155" s="9">
        <v>3.5715563984565435E-2</v>
      </c>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c r="AA155" s="141"/>
      <c r="AB155" s="141"/>
      <c r="AC155" s="141"/>
      <c r="AD155" s="141"/>
      <c r="AE155" s="141"/>
      <c r="AF155" s="141"/>
      <c r="AG155" s="141"/>
      <c r="AH155" s="141"/>
      <c r="AI155" s="141"/>
      <c r="AJ155" s="141"/>
      <c r="AK155" s="141"/>
      <c r="AL155" s="141"/>
      <c r="AM155" s="141"/>
    </row>
    <row r="156" spans="1:2509" x14ac:dyDescent="0.35">
      <c r="A156" s="314"/>
      <c r="B156" s="52" t="s">
        <v>145</v>
      </c>
      <c r="C156" s="88" t="s">
        <v>133</v>
      </c>
      <c r="D156" s="9">
        <v>6.2786670589893401E-2</v>
      </c>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c r="AA156" s="141"/>
      <c r="AB156" s="141"/>
      <c r="AC156" s="141"/>
      <c r="AD156" s="141"/>
      <c r="AE156" s="141"/>
      <c r="AF156" s="141"/>
      <c r="AG156" s="141"/>
      <c r="AH156" s="141"/>
      <c r="AI156" s="141"/>
      <c r="AJ156" s="141"/>
      <c r="AK156" s="141"/>
      <c r="AL156" s="141"/>
      <c r="AM156" s="141"/>
    </row>
    <row r="157" spans="1:2509" x14ac:dyDescent="0.35">
      <c r="A157" s="314"/>
      <c r="B157" s="52" t="s">
        <v>146</v>
      </c>
      <c r="C157" s="88" t="s">
        <v>133</v>
      </c>
      <c r="D157" s="9">
        <v>0.14412798177622532</v>
      </c>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c r="AA157" s="141"/>
      <c r="AB157" s="141"/>
      <c r="AC157" s="141"/>
      <c r="AD157" s="141"/>
      <c r="AE157" s="141"/>
      <c r="AF157" s="141"/>
      <c r="AG157" s="141"/>
      <c r="AH157" s="141"/>
      <c r="AI157" s="141"/>
      <c r="AJ157" s="141"/>
      <c r="AK157" s="141"/>
      <c r="AL157" s="141"/>
      <c r="AM157" s="141"/>
    </row>
    <row r="158" spans="1:2509" x14ac:dyDescent="0.35">
      <c r="A158" s="314"/>
      <c r="B158" s="52" t="s">
        <v>147</v>
      </c>
      <c r="C158" s="88" t="s">
        <v>133</v>
      </c>
      <c r="D158" s="9">
        <v>7.6999999999999957E-2</v>
      </c>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c r="AA158" s="141"/>
      <c r="AB158" s="141"/>
      <c r="AC158" s="141"/>
      <c r="AD158" s="141"/>
      <c r="AE158" s="141"/>
      <c r="AF158" s="141"/>
      <c r="AG158" s="141"/>
      <c r="AH158" s="141"/>
      <c r="AI158" s="141"/>
      <c r="AJ158" s="141"/>
      <c r="AK158" s="141"/>
      <c r="AL158" s="141"/>
      <c r="AM158" s="141"/>
    </row>
    <row r="159" spans="1:2509" x14ac:dyDescent="0.35">
      <c r="A159" s="314"/>
      <c r="B159" s="52" t="s">
        <v>148</v>
      </c>
      <c r="C159" s="88" t="s">
        <v>133</v>
      </c>
      <c r="D159" s="9">
        <v>3.5349915149459843E-2</v>
      </c>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c r="AA159" s="141"/>
      <c r="AB159" s="141"/>
      <c r="AC159" s="141"/>
      <c r="AD159" s="141"/>
      <c r="AE159" s="141"/>
      <c r="AF159" s="141"/>
      <c r="AG159" s="141"/>
      <c r="AH159" s="141"/>
      <c r="AI159" s="141"/>
      <c r="AJ159" s="141"/>
      <c r="AK159" s="141"/>
      <c r="AL159" s="141"/>
      <c r="AM159" s="141"/>
    </row>
    <row r="160" spans="1:2509" x14ac:dyDescent="0.35">
      <c r="A160" s="314"/>
      <c r="B160"/>
      <c r="D160" s="30"/>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c r="AA160" s="141"/>
      <c r="AB160" s="141"/>
      <c r="AC160" s="141"/>
      <c r="AD160" s="141"/>
      <c r="AE160" s="141"/>
      <c r="AF160" s="141"/>
      <c r="AG160" s="141"/>
      <c r="AH160" s="141"/>
      <c r="AI160" s="141"/>
      <c r="AJ160" s="141"/>
      <c r="AK160" s="141"/>
      <c r="AL160" s="141"/>
      <c r="AM160" s="141"/>
    </row>
    <row r="161" spans="1:40" x14ac:dyDescent="0.35">
      <c r="A161" s="314"/>
      <c r="B161" s="52"/>
      <c r="C161" s="88"/>
      <c r="D161" s="9"/>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c r="AA161" s="141"/>
      <c r="AB161" s="141"/>
      <c r="AC161" s="141"/>
      <c r="AD161" s="141"/>
      <c r="AE161" s="141"/>
      <c r="AF161" s="141"/>
      <c r="AG161" s="141"/>
      <c r="AH161" s="141"/>
      <c r="AI161" s="141"/>
      <c r="AJ161" s="141"/>
      <c r="AK161" s="141"/>
      <c r="AL161" s="141"/>
      <c r="AM161" s="141"/>
    </row>
    <row r="162" spans="1:40" x14ac:dyDescent="0.35">
      <c r="A162" s="83"/>
      <c r="B162" s="89" t="s">
        <v>149</v>
      </c>
      <c r="C162" s="90" t="s">
        <v>150</v>
      </c>
      <c r="D162" s="91">
        <v>0.73699999999999999</v>
      </c>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c r="AA162" s="141"/>
      <c r="AB162" s="141"/>
      <c r="AC162" s="141"/>
      <c r="AD162" s="141"/>
      <c r="AE162" s="141"/>
      <c r="AF162" s="141"/>
      <c r="AG162" s="141"/>
      <c r="AH162" s="141"/>
      <c r="AI162" s="141"/>
      <c r="AJ162" s="141"/>
      <c r="AK162" s="141"/>
      <c r="AL162" s="141"/>
      <c r="AM162" s="141"/>
    </row>
    <row r="163" spans="1:40" x14ac:dyDescent="0.35">
      <c r="A163" s="83" t="s">
        <v>313</v>
      </c>
      <c r="B163" s="30" t="s">
        <v>83</v>
      </c>
      <c r="C163" s="223">
        <v>1000000000</v>
      </c>
      <c r="D163" s="223">
        <v>1000000000</v>
      </c>
      <c r="E163" s="223">
        <v>1000000000</v>
      </c>
      <c r="F163" s="223">
        <v>1000000000</v>
      </c>
      <c r="G163" s="223">
        <v>1000000000</v>
      </c>
      <c r="H163" s="223">
        <v>1000000000</v>
      </c>
      <c r="I163" s="223">
        <v>1000000000</v>
      </c>
      <c r="J163" s="223">
        <v>1000000000</v>
      </c>
      <c r="K163" s="223">
        <v>1000000000</v>
      </c>
      <c r="L163" s="223">
        <v>1000000000</v>
      </c>
      <c r="M163" s="141"/>
      <c r="N163" s="141"/>
      <c r="O163" s="141"/>
      <c r="P163" s="141"/>
      <c r="Q163" s="141"/>
      <c r="R163" s="141"/>
      <c r="S163" s="141"/>
      <c r="T163" s="141"/>
      <c r="U163" s="141"/>
      <c r="V163" s="141"/>
      <c r="W163" s="141"/>
      <c r="X163" s="141"/>
      <c r="Y163" s="141"/>
      <c r="Z163" s="141"/>
      <c r="AA163" s="141"/>
      <c r="AB163" s="141"/>
      <c r="AC163" s="141"/>
      <c r="AD163" s="141"/>
      <c r="AE163" s="141"/>
      <c r="AF163" s="141"/>
      <c r="AG163" s="141"/>
      <c r="AH163" s="141"/>
      <c r="AI163" s="141"/>
      <c r="AJ163" s="141"/>
      <c r="AK163" s="141"/>
      <c r="AL163" s="141"/>
      <c r="AM163" s="141"/>
    </row>
    <row r="164" spans="1:40" ht="15" thickBot="1" x14ac:dyDescent="0.4">
      <c r="A164" s="237" t="s">
        <v>312</v>
      </c>
      <c r="B164" s="9" t="s">
        <v>4</v>
      </c>
      <c r="C164" s="237">
        <v>1000</v>
      </c>
    </row>
    <row r="165" spans="1:40" ht="15" thickBot="1" x14ac:dyDescent="0.4">
      <c r="B165" s="221" t="s">
        <v>151</v>
      </c>
      <c r="C165" s="22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2"/>
      <c r="AL165" s="92"/>
      <c r="AM165" s="92"/>
      <c r="AN165" s="93"/>
    </row>
    <row r="166" spans="1:40" x14ac:dyDescent="0.35">
      <c r="B166" s="94" t="s">
        <v>152</v>
      </c>
      <c r="C166" s="95" t="s">
        <v>153</v>
      </c>
      <c r="D166" s="95"/>
      <c r="E166" s="95"/>
      <c r="F166" s="95"/>
      <c r="G166" s="95"/>
      <c r="H166" s="95"/>
      <c r="I166" s="95"/>
      <c r="J166" s="95"/>
      <c r="K166" s="95"/>
      <c r="L166" s="95"/>
      <c r="M166" s="95"/>
      <c r="N166" s="95"/>
      <c r="O166" s="95"/>
      <c r="P166" s="95"/>
      <c r="Q166" s="95"/>
      <c r="R166" s="95"/>
      <c r="S166" s="95"/>
      <c r="T166" s="95"/>
      <c r="U166" s="95"/>
      <c r="V166" s="96"/>
      <c r="W166" s="96"/>
      <c r="X166" s="96"/>
      <c r="Y166" s="96"/>
      <c r="Z166" s="96"/>
      <c r="AA166" s="96"/>
      <c r="AB166" s="97"/>
      <c r="AC166" s="96"/>
      <c r="AD166" s="96"/>
      <c r="AE166" s="96"/>
      <c r="AF166" s="96"/>
      <c r="AG166" s="96"/>
      <c r="AH166" s="96"/>
      <c r="AI166" s="96"/>
      <c r="AJ166" s="96"/>
      <c r="AK166" s="96"/>
      <c r="AL166" s="96"/>
      <c r="AM166" s="96"/>
      <c r="AN166" s="96"/>
    </row>
    <row r="167" spans="1:40" ht="15" thickBot="1" x14ac:dyDescent="0.4">
      <c r="A167" s="12"/>
      <c r="B167" s="98"/>
      <c r="C167" s="99"/>
      <c r="D167" s="100"/>
      <c r="E167" s="27"/>
      <c r="F167" s="27"/>
      <c r="G167" s="27"/>
      <c r="H167" s="27"/>
      <c r="I167" s="27"/>
      <c r="J167" s="27"/>
      <c r="K167" s="27"/>
      <c r="L167" s="27"/>
      <c r="M167" s="27"/>
      <c r="N167" s="27"/>
      <c r="O167" s="27"/>
      <c r="P167" s="27"/>
      <c r="Q167" s="27"/>
      <c r="R167" s="27"/>
      <c r="S167" s="27"/>
      <c r="T167" s="27"/>
      <c r="U167" s="27"/>
      <c r="V167" s="27"/>
      <c r="W167" s="27"/>
      <c r="X167" s="27"/>
      <c r="Y167" s="27"/>
      <c r="Z167" s="27"/>
      <c r="AA167" s="27"/>
      <c r="AB167" s="27"/>
      <c r="AC167" s="27"/>
      <c r="AD167" s="27"/>
    </row>
    <row r="168" spans="1:40" ht="15.75" customHeight="1" thickBot="1" x14ac:dyDescent="0.4">
      <c r="A168" s="329" t="s">
        <v>154</v>
      </c>
      <c r="B168" s="101" t="s">
        <v>155</v>
      </c>
      <c r="C168" s="102">
        <v>12500</v>
      </c>
    </row>
    <row r="169" spans="1:40" ht="15" customHeight="1" x14ac:dyDescent="0.35">
      <c r="A169" s="314"/>
      <c r="B169" s="43" t="s">
        <v>674</v>
      </c>
      <c r="C169" s="102">
        <v>0</v>
      </c>
      <c r="D169" s="103">
        <v>500</v>
      </c>
      <c r="E169" s="18">
        <v>1000</v>
      </c>
      <c r="F169" s="18">
        <v>1500</v>
      </c>
      <c r="G169" s="18">
        <v>2000</v>
      </c>
      <c r="H169" s="18">
        <v>2500</v>
      </c>
      <c r="I169" s="18">
        <v>3000</v>
      </c>
      <c r="J169" s="18">
        <v>3500</v>
      </c>
      <c r="K169" s="18">
        <v>4000</v>
      </c>
      <c r="L169" s="18">
        <v>4500</v>
      </c>
      <c r="M169" s="18">
        <v>5000</v>
      </c>
      <c r="N169" s="18">
        <v>5500</v>
      </c>
      <c r="O169" s="18">
        <v>6000</v>
      </c>
      <c r="P169" s="18">
        <v>6500</v>
      </c>
      <c r="Q169" s="18">
        <v>7000</v>
      </c>
      <c r="R169" s="104">
        <v>7500</v>
      </c>
      <c r="S169" s="104">
        <v>8000</v>
      </c>
      <c r="T169" s="104">
        <v>8500</v>
      </c>
      <c r="U169" s="104">
        <v>9000</v>
      </c>
      <c r="V169" s="104">
        <v>9500</v>
      </c>
      <c r="W169" s="104">
        <v>10000</v>
      </c>
      <c r="X169" s="104">
        <v>10500</v>
      </c>
      <c r="Y169" s="104">
        <v>11000</v>
      </c>
      <c r="Z169" s="104">
        <v>11500</v>
      </c>
      <c r="AA169" s="104">
        <v>12000</v>
      </c>
      <c r="AB169" s="104">
        <v>12500</v>
      </c>
      <c r="AC169" s="104"/>
      <c r="AD169" s="104"/>
      <c r="AE169" s="104"/>
      <c r="AF169" s="104"/>
      <c r="AG169" s="104"/>
      <c r="AH169" s="104"/>
      <c r="AI169" s="104"/>
      <c r="AJ169" s="104"/>
      <c r="AK169" s="105"/>
      <c r="AL169" s="106"/>
      <c r="AM169" s="107"/>
    </row>
    <row r="170" spans="1:40" ht="15.75" customHeight="1" thickBot="1" x14ac:dyDescent="0.4">
      <c r="A170" s="314"/>
      <c r="B170" s="226" t="s">
        <v>156</v>
      </c>
      <c r="C170" s="108">
        <v>0</v>
      </c>
      <c r="D170" s="109">
        <v>31.192573700504539</v>
      </c>
      <c r="E170" s="110">
        <v>55.930367022233483</v>
      </c>
      <c r="F170" s="110">
        <v>78.974273786673805</v>
      </c>
      <c r="G170" s="110">
        <v>98.99541997370072</v>
      </c>
      <c r="H170" s="110">
        <v>112.90238993902808</v>
      </c>
      <c r="I170" s="110">
        <v>129.78690300622171</v>
      </c>
      <c r="J170" s="110">
        <v>139.05477860121135</v>
      </c>
      <c r="K170" s="110">
        <v>149.65885530140235</v>
      </c>
      <c r="L170" s="110">
        <v>155.85226158136214</v>
      </c>
      <c r="M170" s="110">
        <v>160.21358632267601</v>
      </c>
      <c r="N170" s="110">
        <v>162.5352378599971</v>
      </c>
      <c r="O170" s="110">
        <v>162.89303662558495</v>
      </c>
      <c r="P170" s="110">
        <v>162.89303662558495</v>
      </c>
      <c r="Q170" s="110">
        <v>162.89303662558495</v>
      </c>
      <c r="R170" s="77">
        <v>162.89303662558495</v>
      </c>
      <c r="S170" s="77">
        <v>162.89303662558495</v>
      </c>
      <c r="T170" s="77">
        <v>162.89303662558495</v>
      </c>
      <c r="U170" s="77">
        <v>162.89303662558495</v>
      </c>
      <c r="V170" s="77">
        <v>162.89303662558495</v>
      </c>
      <c r="W170" s="77">
        <v>162.89303662558495</v>
      </c>
      <c r="X170" s="77">
        <v>162.89303662558495</v>
      </c>
      <c r="Y170" s="77">
        <v>162.89303662558495</v>
      </c>
      <c r="Z170" s="77">
        <v>162.89303662558495</v>
      </c>
      <c r="AA170" s="77">
        <v>162.89303662558495</v>
      </c>
      <c r="AB170" s="77">
        <v>162.89303662558495</v>
      </c>
      <c r="AC170" s="77"/>
      <c r="AD170" s="77"/>
      <c r="AE170" s="77"/>
      <c r="AF170" s="77"/>
      <c r="AG170" s="77"/>
      <c r="AH170" s="77"/>
      <c r="AI170" s="77"/>
      <c r="AJ170" s="77"/>
      <c r="AK170" s="78"/>
      <c r="AL170" s="106"/>
      <c r="AM170" s="107"/>
    </row>
    <row r="171" spans="1:40" ht="15" customHeight="1" x14ac:dyDescent="0.35">
      <c r="A171" s="314"/>
      <c r="B171" s="111" t="s">
        <v>157</v>
      </c>
      <c r="C171" s="112">
        <v>14500</v>
      </c>
    </row>
    <row r="172" spans="1:40" ht="15" customHeight="1" x14ac:dyDescent="0.35">
      <c r="A172" s="314"/>
      <c r="B172" s="52" t="s">
        <v>675</v>
      </c>
      <c r="C172" s="25">
        <v>0</v>
      </c>
      <c r="D172" s="25">
        <v>500</v>
      </c>
      <c r="E172" s="25">
        <v>1000</v>
      </c>
      <c r="F172" s="25">
        <v>1500</v>
      </c>
      <c r="G172" s="25">
        <v>2000</v>
      </c>
      <c r="H172" s="25">
        <v>2500</v>
      </c>
      <c r="I172" s="25">
        <v>3000</v>
      </c>
      <c r="J172" s="25">
        <v>3500</v>
      </c>
      <c r="K172" s="25">
        <v>4000</v>
      </c>
      <c r="L172" s="25">
        <v>4500</v>
      </c>
      <c r="M172" s="25">
        <v>5000</v>
      </c>
      <c r="N172" s="25">
        <v>5500</v>
      </c>
      <c r="O172" s="25">
        <v>6000</v>
      </c>
      <c r="P172" s="25">
        <v>6500</v>
      </c>
      <c r="Q172" s="25">
        <v>7000</v>
      </c>
      <c r="R172" s="25">
        <v>7500</v>
      </c>
      <c r="S172" s="25">
        <v>8000</v>
      </c>
      <c r="T172" s="25">
        <v>8500</v>
      </c>
      <c r="U172" s="25">
        <v>9000</v>
      </c>
      <c r="V172" s="25">
        <v>9500</v>
      </c>
      <c r="W172" s="25">
        <v>10000</v>
      </c>
      <c r="X172" s="25">
        <v>10500</v>
      </c>
      <c r="Y172" s="113">
        <v>11000</v>
      </c>
      <c r="Z172" s="25">
        <v>11500</v>
      </c>
      <c r="AA172" s="25">
        <v>12000</v>
      </c>
      <c r="AB172" s="25">
        <v>12500</v>
      </c>
      <c r="AC172" s="25">
        <v>13000</v>
      </c>
      <c r="AD172" s="25">
        <v>13500</v>
      </c>
      <c r="AE172" s="25">
        <v>14000</v>
      </c>
      <c r="AF172" s="113">
        <v>14500</v>
      </c>
      <c r="AG172" s="114"/>
      <c r="AH172" s="114"/>
      <c r="AI172" s="114"/>
      <c r="AJ172" s="114"/>
      <c r="AK172" s="115"/>
      <c r="AL172" s="106"/>
      <c r="AM172" s="107"/>
    </row>
    <row r="173" spans="1:40" ht="15.75" customHeight="1" thickBot="1" x14ac:dyDescent="0.4">
      <c r="A173" s="314"/>
      <c r="B173" s="52" t="s">
        <v>158</v>
      </c>
      <c r="C173" s="21">
        <v>0</v>
      </c>
      <c r="D173" s="110">
        <v>29.4861</v>
      </c>
      <c r="E173" s="110">
        <v>56.059699999999999</v>
      </c>
      <c r="F173" s="110">
        <v>77</v>
      </c>
      <c r="G173" s="110">
        <v>94.709800000000001</v>
      </c>
      <c r="H173" s="110">
        <v>111.19799999999999</v>
      </c>
      <c r="I173" s="110">
        <v>124.131</v>
      </c>
      <c r="J173" s="110">
        <v>136.26</v>
      </c>
      <c r="K173" s="110">
        <v>147.07300000000001</v>
      </c>
      <c r="L173" s="110">
        <v>154.041</v>
      </c>
      <c r="M173" s="110">
        <v>160.5</v>
      </c>
      <c r="N173" s="110">
        <v>165.566</v>
      </c>
      <c r="O173" s="110">
        <v>167.49600000000001</v>
      </c>
      <c r="P173" s="110">
        <v>169.17599999999999</v>
      </c>
      <c r="Q173" s="110">
        <v>169.47399999999999</v>
      </c>
      <c r="R173" s="110">
        <v>169.47399999999999</v>
      </c>
      <c r="S173" s="110">
        <v>169.47399999999999</v>
      </c>
      <c r="T173" s="110">
        <v>169.47399999999999</v>
      </c>
      <c r="U173" s="110">
        <v>169.47399999999999</v>
      </c>
      <c r="V173" s="110">
        <v>169.47399999999999</v>
      </c>
      <c r="W173" s="110">
        <v>169.47399999999999</v>
      </c>
      <c r="X173" s="110">
        <v>169.47399999999999</v>
      </c>
      <c r="Y173" s="116">
        <v>169.47399999999999</v>
      </c>
      <c r="Z173" s="110">
        <v>169.47399999999999</v>
      </c>
      <c r="AA173" s="110">
        <v>169.47399999999999</v>
      </c>
      <c r="AB173" s="110">
        <v>169.47399999999999</v>
      </c>
      <c r="AC173" s="110">
        <v>169.47399999999999</v>
      </c>
      <c r="AD173" s="110">
        <v>169.47399999999999</v>
      </c>
      <c r="AE173" s="110">
        <v>169.47399999999999</v>
      </c>
      <c r="AF173" s="116">
        <v>169.47399999999999</v>
      </c>
      <c r="AG173" s="77"/>
      <c r="AH173" s="77"/>
      <c r="AI173" s="77"/>
      <c r="AJ173" s="77"/>
      <c r="AK173" s="78"/>
    </row>
    <row r="174" spans="1:40" ht="15.75" customHeight="1" thickBot="1" x14ac:dyDescent="0.4">
      <c r="A174" s="314"/>
      <c r="B174" s="101" t="s">
        <v>159</v>
      </c>
      <c r="C174" s="117">
        <v>16700</v>
      </c>
    </row>
    <row r="175" spans="1:40" ht="15" customHeight="1" x14ac:dyDescent="0.35">
      <c r="A175" s="314"/>
      <c r="B175" s="52" t="s">
        <v>676</v>
      </c>
      <c r="C175" s="18">
        <v>0</v>
      </c>
      <c r="D175" s="18">
        <v>500</v>
      </c>
      <c r="E175" s="18">
        <v>1000</v>
      </c>
      <c r="F175" s="18">
        <v>1500</v>
      </c>
      <c r="G175" s="18">
        <v>2000</v>
      </c>
      <c r="H175" s="18">
        <v>2500</v>
      </c>
      <c r="I175" s="18">
        <v>3000</v>
      </c>
      <c r="J175" s="18">
        <v>3500</v>
      </c>
      <c r="K175" s="18">
        <v>4000</v>
      </c>
      <c r="L175" s="18">
        <v>4500</v>
      </c>
      <c r="M175" s="18">
        <v>5000</v>
      </c>
      <c r="N175" s="18">
        <v>5500</v>
      </c>
      <c r="O175" s="18">
        <v>6000</v>
      </c>
      <c r="P175" s="18">
        <v>6500</v>
      </c>
      <c r="Q175" s="18">
        <v>7000</v>
      </c>
      <c r="R175" s="18">
        <v>7500</v>
      </c>
      <c r="S175" s="18">
        <v>8000</v>
      </c>
      <c r="T175" s="18">
        <v>8500</v>
      </c>
      <c r="U175" s="18">
        <v>9000</v>
      </c>
      <c r="V175" s="18">
        <v>9500</v>
      </c>
      <c r="W175" s="18">
        <v>10000</v>
      </c>
      <c r="X175" s="18">
        <v>10500</v>
      </c>
      <c r="Y175" s="18">
        <v>11000</v>
      </c>
      <c r="Z175" s="18">
        <v>11500</v>
      </c>
      <c r="AA175" s="18">
        <v>12000</v>
      </c>
      <c r="AB175" s="18">
        <v>12500</v>
      </c>
      <c r="AC175" s="18">
        <v>13000</v>
      </c>
      <c r="AD175" s="18">
        <v>13500</v>
      </c>
      <c r="AE175" s="18">
        <v>14000</v>
      </c>
      <c r="AF175" s="18">
        <v>14500</v>
      </c>
      <c r="AG175" s="18">
        <v>15000</v>
      </c>
      <c r="AH175" s="18">
        <v>15500</v>
      </c>
      <c r="AI175" s="18">
        <v>16000</v>
      </c>
      <c r="AJ175" s="18">
        <v>16500</v>
      </c>
      <c r="AK175" s="19">
        <v>17000</v>
      </c>
      <c r="AL175" s="118"/>
      <c r="AM175" s="119"/>
    </row>
    <row r="176" spans="1:40" ht="15.75" customHeight="1" thickBot="1" x14ac:dyDescent="0.4">
      <c r="A176" s="314"/>
      <c r="B176" s="52" t="s">
        <v>160</v>
      </c>
      <c r="C176" s="15">
        <v>0</v>
      </c>
      <c r="D176" s="120">
        <v>15.638400000000001</v>
      </c>
      <c r="E176" s="120">
        <v>43.7316</v>
      </c>
      <c r="F176" s="120">
        <v>66.2483</v>
      </c>
      <c r="G176" s="120">
        <v>87.347200000000001</v>
      </c>
      <c r="H176" s="120">
        <v>103.416</v>
      </c>
      <c r="I176" s="120">
        <v>119.408</v>
      </c>
      <c r="J176" s="120">
        <v>131.57</v>
      </c>
      <c r="K176" s="120">
        <v>140.05699999999999</v>
      </c>
      <c r="L176" s="120">
        <v>150.25700000000001</v>
      </c>
      <c r="M176" s="120">
        <v>156.93199999999999</v>
      </c>
      <c r="N176" s="120">
        <v>162.68299999999999</v>
      </c>
      <c r="O176" s="120">
        <v>167.46199999999999</v>
      </c>
      <c r="P176" s="120">
        <v>171.239</v>
      </c>
      <c r="Q176" s="120">
        <v>173.99799999999999</v>
      </c>
      <c r="R176" s="120">
        <v>175.733</v>
      </c>
      <c r="S176" s="120">
        <v>176.452</v>
      </c>
      <c r="T176" s="120">
        <v>176.452</v>
      </c>
      <c r="U176" s="120">
        <v>176.452</v>
      </c>
      <c r="V176" s="120">
        <v>176.452</v>
      </c>
      <c r="W176" s="120">
        <v>176.452</v>
      </c>
      <c r="X176" s="120">
        <v>176.452</v>
      </c>
      <c r="Y176" s="120">
        <v>176.452</v>
      </c>
      <c r="Z176" s="120">
        <v>176.452</v>
      </c>
      <c r="AA176" s="120">
        <v>176.452</v>
      </c>
      <c r="AB176" s="120">
        <v>176.452</v>
      </c>
      <c r="AC176" s="120">
        <v>176.452</v>
      </c>
      <c r="AD176" s="120">
        <v>176.452</v>
      </c>
      <c r="AE176" s="120">
        <v>176.452</v>
      </c>
      <c r="AF176" s="120">
        <v>176.452</v>
      </c>
      <c r="AG176" s="120">
        <v>176.452</v>
      </c>
      <c r="AH176" s="120">
        <v>176.452</v>
      </c>
      <c r="AI176" s="120">
        <v>176.452</v>
      </c>
      <c r="AJ176" s="120">
        <v>176.452</v>
      </c>
      <c r="AK176" s="121">
        <v>176.452</v>
      </c>
    </row>
    <row r="177" spans="1:2509" s="12" customFormat="1" ht="15.75" customHeight="1" thickBot="1" x14ac:dyDescent="0.4">
      <c r="A177" s="314"/>
      <c r="B177" s="101" t="s">
        <v>161</v>
      </c>
      <c r="C177" s="117">
        <v>10500</v>
      </c>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c r="LQ177"/>
      <c r="LR177"/>
      <c r="LS177"/>
      <c r="LT177"/>
      <c r="LU177"/>
      <c r="LV177"/>
      <c r="LW177"/>
      <c r="LX177"/>
      <c r="LY177"/>
      <c r="LZ177"/>
      <c r="MA177"/>
      <c r="MB177"/>
      <c r="MC177"/>
      <c r="MD177"/>
      <c r="ME177"/>
      <c r="MF177"/>
      <c r="MG177"/>
      <c r="MH177"/>
      <c r="MI177"/>
      <c r="MJ177"/>
      <c r="MK177"/>
      <c r="ML177"/>
      <c r="MM177"/>
      <c r="MN177"/>
      <c r="MO177"/>
      <c r="MP177"/>
      <c r="MQ177"/>
      <c r="MR177"/>
      <c r="MS177"/>
      <c r="MT177"/>
      <c r="MU177"/>
      <c r="MV177"/>
      <c r="MW177"/>
      <c r="MX177"/>
      <c r="MY177"/>
      <c r="MZ177"/>
      <c r="NA177"/>
      <c r="NB177"/>
      <c r="NC177"/>
      <c r="ND177"/>
      <c r="NE177"/>
      <c r="NF177"/>
      <c r="NG177"/>
      <c r="NH177"/>
      <c r="NI177"/>
      <c r="NJ177"/>
      <c r="NK177"/>
      <c r="NL177"/>
      <c r="NM177"/>
      <c r="NN177"/>
      <c r="NO177"/>
      <c r="NP177"/>
      <c r="NQ177"/>
      <c r="NR177"/>
      <c r="NS177"/>
      <c r="NT177"/>
      <c r="NU177"/>
      <c r="NV177"/>
      <c r="NW177"/>
      <c r="NX177"/>
      <c r="NY177"/>
      <c r="NZ177"/>
      <c r="OA177"/>
      <c r="OB177"/>
      <c r="OC177"/>
      <c r="OD177"/>
      <c r="OE177"/>
      <c r="OF177"/>
      <c r="OG177"/>
      <c r="OH177"/>
      <c r="OI177"/>
      <c r="OJ177"/>
      <c r="OK177"/>
      <c r="OL177"/>
      <c r="OM177"/>
      <c r="ON177"/>
      <c r="OO177"/>
      <c r="OP177"/>
      <c r="OQ177"/>
      <c r="OR177"/>
      <c r="OS177"/>
      <c r="OT177"/>
      <c r="OU177"/>
      <c r="OV177"/>
      <c r="OW177"/>
      <c r="OX177"/>
      <c r="OY177"/>
      <c r="OZ177"/>
      <c r="PA177"/>
      <c r="PB177"/>
      <c r="PC177"/>
      <c r="PD177"/>
      <c r="PE177"/>
      <c r="PF177"/>
      <c r="PG177"/>
      <c r="PH177"/>
      <c r="PI177"/>
      <c r="PJ177"/>
      <c r="PK177"/>
      <c r="PL177"/>
      <c r="PM177"/>
      <c r="PN177"/>
      <c r="PO177"/>
      <c r="PP177"/>
      <c r="PQ177"/>
      <c r="PR177"/>
      <c r="PS177"/>
      <c r="PT177"/>
      <c r="PU177"/>
      <c r="PV177"/>
      <c r="PW177"/>
      <c r="PX177"/>
      <c r="PY177"/>
      <c r="PZ177"/>
      <c r="QA177"/>
      <c r="QB177"/>
      <c r="QC177"/>
      <c r="QD177"/>
      <c r="QE177"/>
      <c r="QF177"/>
      <c r="QG177"/>
      <c r="QH177"/>
      <c r="QI177"/>
      <c r="QJ177"/>
      <c r="QK177"/>
      <c r="QL177"/>
      <c r="QM177"/>
      <c r="QN177"/>
      <c r="QO177"/>
      <c r="QP177"/>
      <c r="QQ177"/>
      <c r="QR177"/>
      <c r="QS177"/>
      <c r="QT177"/>
      <c r="QU177"/>
      <c r="QV177"/>
      <c r="QW177"/>
      <c r="QX177"/>
      <c r="QY177"/>
      <c r="QZ177"/>
      <c r="RA177"/>
      <c r="RB177"/>
      <c r="RC177"/>
      <c r="RD177"/>
      <c r="RE177"/>
      <c r="RF177"/>
      <c r="RG177"/>
      <c r="RH177"/>
      <c r="RI177"/>
      <c r="RJ177"/>
      <c r="RK177"/>
      <c r="RL177"/>
      <c r="RM177"/>
      <c r="RN177"/>
      <c r="RO177"/>
      <c r="RP177"/>
      <c r="RQ177"/>
      <c r="RR177"/>
      <c r="RS177"/>
      <c r="RT177"/>
      <c r="RU177"/>
      <c r="RV177"/>
      <c r="RW177"/>
      <c r="RX177"/>
      <c r="RY177"/>
      <c r="RZ177"/>
      <c r="SA177"/>
      <c r="SB177"/>
      <c r="SC177"/>
      <c r="SD177"/>
      <c r="SE177"/>
      <c r="SF177"/>
      <c r="SG177"/>
      <c r="SH177"/>
      <c r="SI177"/>
      <c r="SJ177"/>
      <c r="SK177"/>
      <c r="SL177"/>
      <c r="SM177"/>
      <c r="SN177"/>
      <c r="SO177"/>
      <c r="SP177"/>
      <c r="SQ177"/>
      <c r="SR177"/>
      <c r="SS177"/>
      <c r="ST177"/>
      <c r="SU177"/>
      <c r="SV177"/>
      <c r="SW177"/>
      <c r="SX177"/>
      <c r="SY177"/>
      <c r="SZ177"/>
      <c r="TA177"/>
      <c r="TB177"/>
      <c r="TC177"/>
      <c r="TD177"/>
      <c r="TE177"/>
      <c r="TF177"/>
      <c r="TG177"/>
      <c r="TH177"/>
      <c r="TI177"/>
      <c r="TJ177"/>
      <c r="TK177"/>
      <c r="TL177"/>
      <c r="TM177"/>
      <c r="TN177"/>
      <c r="TO177"/>
      <c r="TP177"/>
      <c r="TQ177"/>
      <c r="TR177"/>
      <c r="TS177"/>
      <c r="TT177"/>
      <c r="TU177"/>
      <c r="TV177"/>
      <c r="TW177"/>
      <c r="TX177"/>
      <c r="TY177"/>
      <c r="TZ177"/>
      <c r="UA177"/>
      <c r="UB177"/>
      <c r="UC177"/>
      <c r="UD177"/>
      <c r="UE177"/>
      <c r="UF177"/>
      <c r="UG177"/>
      <c r="UH177"/>
      <c r="UI177"/>
      <c r="UJ177"/>
      <c r="UK177"/>
      <c r="UL177"/>
      <c r="UM177"/>
      <c r="UN177"/>
      <c r="UO177"/>
      <c r="UP177"/>
      <c r="UQ177"/>
      <c r="UR177"/>
      <c r="US177"/>
      <c r="UT177"/>
      <c r="UU177"/>
      <c r="UV177"/>
      <c r="UW177"/>
      <c r="UX177"/>
      <c r="UY177"/>
      <c r="UZ177"/>
      <c r="VA177"/>
      <c r="VB177"/>
      <c r="VC177"/>
      <c r="VD177"/>
      <c r="VE177"/>
      <c r="VF177"/>
      <c r="VG177"/>
      <c r="VH177"/>
      <c r="VI177"/>
      <c r="VJ177"/>
      <c r="VK177"/>
      <c r="VL177"/>
      <c r="VM177"/>
      <c r="VN177"/>
      <c r="VO177"/>
      <c r="VP177"/>
      <c r="VQ177"/>
      <c r="VR177"/>
      <c r="VS177"/>
      <c r="VT177"/>
      <c r="VU177"/>
      <c r="VV177"/>
      <c r="VW177"/>
      <c r="VX177"/>
      <c r="VY177"/>
      <c r="VZ177"/>
      <c r="WA177"/>
      <c r="WB177"/>
      <c r="WC177"/>
      <c r="WD177"/>
      <c r="WE177"/>
      <c r="WF177"/>
      <c r="WG177"/>
      <c r="WH177"/>
      <c r="WI177"/>
      <c r="WJ177"/>
      <c r="WK177"/>
      <c r="WL177"/>
      <c r="WM177"/>
      <c r="WN177"/>
      <c r="WO177"/>
      <c r="WP177"/>
      <c r="WQ177"/>
      <c r="WR177"/>
      <c r="WS177"/>
      <c r="WT177"/>
      <c r="WU177"/>
      <c r="WV177"/>
      <c r="WW177"/>
      <c r="WX177"/>
      <c r="WY177"/>
      <c r="WZ177"/>
      <c r="XA177"/>
      <c r="XB177"/>
      <c r="XC177"/>
      <c r="XD177"/>
      <c r="XE177"/>
      <c r="XF177"/>
      <c r="XG177"/>
      <c r="XH177"/>
      <c r="XI177"/>
      <c r="XJ177"/>
      <c r="XK177"/>
      <c r="XL177"/>
      <c r="XM177"/>
      <c r="XN177"/>
      <c r="XO177"/>
      <c r="XP177"/>
      <c r="XQ177"/>
      <c r="XR177"/>
      <c r="XS177"/>
      <c r="XT177"/>
      <c r="XU177"/>
      <c r="XV177"/>
      <c r="XW177"/>
      <c r="XX177"/>
      <c r="XY177"/>
      <c r="XZ177"/>
      <c r="YA177"/>
      <c r="YB177"/>
      <c r="YC177"/>
      <c r="YD177"/>
      <c r="YE177"/>
      <c r="YF177"/>
      <c r="YG177"/>
      <c r="YH177"/>
      <c r="YI177"/>
      <c r="YJ177"/>
      <c r="YK177"/>
      <c r="YL177"/>
      <c r="YM177"/>
      <c r="YN177"/>
      <c r="YO177"/>
      <c r="YP177"/>
      <c r="YQ177"/>
      <c r="YR177"/>
      <c r="YS177"/>
      <c r="YT177"/>
      <c r="YU177"/>
      <c r="YV177"/>
      <c r="YW177"/>
      <c r="YX177"/>
      <c r="YY177"/>
      <c r="YZ177"/>
      <c r="ZA177"/>
      <c r="ZB177"/>
      <c r="ZC177"/>
      <c r="ZD177"/>
      <c r="ZE177"/>
      <c r="ZF177"/>
      <c r="ZG177"/>
      <c r="ZH177"/>
      <c r="ZI177"/>
      <c r="ZJ177"/>
      <c r="ZK177"/>
      <c r="ZL177"/>
      <c r="ZM177"/>
      <c r="ZN177"/>
      <c r="ZO177"/>
      <c r="ZP177"/>
      <c r="ZQ177"/>
      <c r="ZR177"/>
      <c r="ZS177"/>
      <c r="ZT177"/>
      <c r="ZU177"/>
      <c r="ZV177"/>
      <c r="ZW177"/>
      <c r="ZX177"/>
      <c r="ZY177"/>
      <c r="ZZ177"/>
      <c r="AAA177"/>
      <c r="AAB177"/>
      <c r="AAC177"/>
      <c r="AAD177"/>
      <c r="AAE177"/>
      <c r="AAF177"/>
      <c r="AAG177"/>
      <c r="AAH177"/>
      <c r="AAI177"/>
      <c r="AAJ177"/>
      <c r="AAK177"/>
      <c r="AAL177"/>
      <c r="AAM177"/>
      <c r="AAN177"/>
      <c r="AAO177"/>
      <c r="AAP177"/>
      <c r="AAQ177"/>
      <c r="AAR177"/>
      <c r="AAS177"/>
      <c r="AAT177"/>
      <c r="AAU177"/>
      <c r="AAV177"/>
      <c r="AAW177"/>
      <c r="AAX177"/>
      <c r="AAY177"/>
      <c r="AAZ177"/>
      <c r="ABA177"/>
      <c r="ABB177"/>
      <c r="ABC177"/>
      <c r="ABD177"/>
      <c r="ABE177"/>
      <c r="ABF177"/>
      <c r="ABG177"/>
      <c r="ABH177"/>
      <c r="ABI177"/>
      <c r="ABJ177"/>
      <c r="ABK177"/>
      <c r="ABL177"/>
      <c r="ABM177"/>
      <c r="ABN177"/>
      <c r="ABO177"/>
      <c r="ABP177"/>
      <c r="ABQ177"/>
      <c r="ABR177"/>
      <c r="ABS177"/>
      <c r="ABT177"/>
      <c r="ABU177"/>
      <c r="ABV177"/>
      <c r="ABW177"/>
      <c r="ABX177"/>
      <c r="ABY177"/>
      <c r="ABZ177"/>
      <c r="ACA177"/>
      <c r="ACB177"/>
      <c r="ACC177"/>
      <c r="ACD177"/>
      <c r="ACE177"/>
      <c r="ACF177"/>
      <c r="ACG177"/>
      <c r="ACH177"/>
      <c r="ACI177"/>
      <c r="ACJ177"/>
      <c r="ACK177"/>
      <c r="ACL177"/>
      <c r="ACM177"/>
      <c r="ACN177"/>
      <c r="ACO177"/>
      <c r="ACP177"/>
      <c r="ACQ177"/>
      <c r="ACR177"/>
      <c r="ACS177"/>
      <c r="ACT177"/>
      <c r="ACU177"/>
      <c r="ACV177"/>
      <c r="ACW177"/>
      <c r="ACX177"/>
      <c r="ACY177"/>
      <c r="ACZ177"/>
      <c r="ADA177"/>
      <c r="ADB177"/>
      <c r="ADC177"/>
      <c r="ADD177"/>
      <c r="ADE177"/>
      <c r="ADF177"/>
      <c r="ADG177"/>
      <c r="ADH177"/>
      <c r="ADI177"/>
      <c r="ADJ177"/>
      <c r="ADK177"/>
      <c r="ADL177"/>
      <c r="ADM177"/>
      <c r="ADN177"/>
      <c r="ADO177"/>
      <c r="ADP177"/>
      <c r="ADQ177"/>
      <c r="ADR177"/>
      <c r="ADS177"/>
      <c r="ADT177"/>
      <c r="ADU177"/>
      <c r="ADV177"/>
      <c r="ADW177"/>
      <c r="ADX177"/>
      <c r="ADY177"/>
      <c r="ADZ177"/>
      <c r="AEA177"/>
      <c r="AEB177"/>
      <c r="AEC177"/>
      <c r="AED177"/>
      <c r="AEE177"/>
      <c r="AEF177"/>
      <c r="AEG177"/>
      <c r="AEH177"/>
      <c r="AEI177"/>
      <c r="AEJ177"/>
      <c r="AEK177"/>
      <c r="AEL177"/>
      <c r="AEM177"/>
      <c r="AEN177"/>
      <c r="AEO177"/>
      <c r="AEP177"/>
      <c r="AEQ177"/>
      <c r="AER177"/>
      <c r="AES177"/>
      <c r="AET177"/>
      <c r="AEU177"/>
      <c r="AEV177"/>
      <c r="AEW177"/>
      <c r="AEX177"/>
      <c r="AEY177"/>
      <c r="AEZ177"/>
      <c r="AFA177"/>
      <c r="AFB177"/>
      <c r="AFC177"/>
      <c r="AFD177"/>
      <c r="AFE177"/>
      <c r="AFF177"/>
      <c r="AFG177"/>
      <c r="AFH177"/>
      <c r="AFI177"/>
      <c r="AFJ177"/>
      <c r="AFK177"/>
      <c r="AFL177"/>
      <c r="AFM177"/>
      <c r="AFN177"/>
      <c r="AFO177"/>
      <c r="AFP177"/>
      <c r="AFQ177"/>
      <c r="AFR177"/>
      <c r="AFS177"/>
      <c r="AFT177"/>
      <c r="AFU177"/>
      <c r="AFV177"/>
      <c r="AFW177"/>
      <c r="AFX177"/>
      <c r="AFY177"/>
      <c r="AFZ177"/>
      <c r="AGA177"/>
      <c r="AGB177"/>
      <c r="AGC177"/>
      <c r="AGD177"/>
      <c r="AGE177"/>
      <c r="AGF177"/>
      <c r="AGG177"/>
      <c r="AGH177"/>
      <c r="AGI177"/>
      <c r="AGJ177"/>
      <c r="AGK177"/>
      <c r="AGL177"/>
      <c r="AGM177"/>
      <c r="AGN177"/>
      <c r="AGO177"/>
      <c r="AGP177"/>
      <c r="AGQ177"/>
      <c r="AGR177"/>
      <c r="AGS177"/>
      <c r="AGT177"/>
      <c r="AGU177"/>
      <c r="AGV177"/>
      <c r="AGW177"/>
      <c r="AGX177"/>
      <c r="AGY177"/>
      <c r="AGZ177"/>
      <c r="AHA177"/>
      <c r="AHB177"/>
      <c r="AHC177"/>
      <c r="AHD177"/>
      <c r="AHE177"/>
      <c r="AHF177"/>
      <c r="AHG177"/>
      <c r="AHH177"/>
      <c r="AHI177"/>
      <c r="AHJ177"/>
      <c r="AHK177"/>
      <c r="AHL177"/>
      <c r="AHM177"/>
      <c r="AHN177"/>
      <c r="AHO177"/>
      <c r="AHP177"/>
      <c r="AHQ177"/>
      <c r="AHR177"/>
      <c r="AHS177"/>
      <c r="AHT177"/>
      <c r="AHU177"/>
      <c r="AHV177"/>
      <c r="AHW177"/>
      <c r="AHX177"/>
      <c r="AHY177"/>
      <c r="AHZ177"/>
      <c r="AIA177"/>
      <c r="AIB177"/>
      <c r="AIC177"/>
      <c r="AID177"/>
      <c r="AIE177"/>
      <c r="AIF177"/>
      <c r="AIG177"/>
      <c r="AIH177"/>
      <c r="AII177"/>
      <c r="AIJ177"/>
      <c r="AIK177"/>
      <c r="AIL177"/>
      <c r="AIM177"/>
      <c r="AIN177"/>
      <c r="AIO177"/>
      <c r="AIP177"/>
      <c r="AIQ177"/>
      <c r="AIR177"/>
      <c r="AIS177"/>
      <c r="AIT177"/>
      <c r="AIU177"/>
      <c r="AIV177"/>
      <c r="AIW177"/>
      <c r="AIX177"/>
      <c r="AIY177"/>
      <c r="AIZ177"/>
      <c r="AJA177"/>
      <c r="AJB177"/>
      <c r="AJC177"/>
      <c r="AJD177"/>
      <c r="AJE177"/>
      <c r="AJF177"/>
      <c r="AJG177"/>
      <c r="AJH177"/>
      <c r="AJI177"/>
      <c r="AJJ177"/>
      <c r="AJK177"/>
      <c r="AJL177"/>
      <c r="AJM177"/>
      <c r="AJN177"/>
      <c r="AJO177"/>
      <c r="AJP177"/>
      <c r="AJQ177"/>
      <c r="AJR177"/>
      <c r="AJS177"/>
      <c r="AJT177"/>
      <c r="AJU177"/>
      <c r="AJV177"/>
      <c r="AJW177"/>
      <c r="AJX177"/>
      <c r="AJY177"/>
      <c r="AJZ177"/>
      <c r="AKA177"/>
      <c r="AKB177"/>
      <c r="AKC177"/>
      <c r="AKD177"/>
      <c r="AKE177"/>
      <c r="AKF177"/>
      <c r="AKG177"/>
      <c r="AKH177"/>
      <c r="AKI177"/>
      <c r="AKJ177"/>
      <c r="AKK177"/>
      <c r="AKL177"/>
      <c r="AKM177"/>
      <c r="AKN177"/>
      <c r="AKO177"/>
      <c r="AKP177"/>
      <c r="AKQ177"/>
      <c r="AKR177"/>
      <c r="AKS177"/>
      <c r="AKT177"/>
      <c r="AKU177"/>
      <c r="AKV177"/>
      <c r="AKW177"/>
      <c r="AKX177"/>
      <c r="AKY177"/>
      <c r="AKZ177"/>
      <c r="ALA177"/>
      <c r="ALB177"/>
      <c r="ALC177"/>
      <c r="ALD177"/>
      <c r="ALE177"/>
      <c r="ALF177"/>
      <c r="ALG177"/>
      <c r="ALH177"/>
      <c r="ALI177"/>
      <c r="ALJ177"/>
      <c r="ALK177"/>
      <c r="ALL177"/>
      <c r="ALM177"/>
      <c r="ALN177"/>
      <c r="ALO177"/>
      <c r="ALP177"/>
      <c r="ALQ177"/>
      <c r="ALR177"/>
      <c r="ALS177"/>
      <c r="ALT177"/>
      <c r="ALU177"/>
      <c r="ALV177"/>
      <c r="ALW177"/>
      <c r="ALX177"/>
      <c r="ALY177"/>
      <c r="ALZ177"/>
      <c r="AMA177"/>
      <c r="AMB177"/>
      <c r="AMC177"/>
      <c r="AMD177"/>
      <c r="AME177"/>
      <c r="AMF177"/>
      <c r="AMG177"/>
      <c r="AMH177"/>
      <c r="AMI177"/>
      <c r="AMJ177"/>
      <c r="AMK177"/>
      <c r="AML177"/>
      <c r="AMM177"/>
      <c r="AMN177"/>
      <c r="AMO177"/>
      <c r="AMP177"/>
      <c r="AMQ177"/>
      <c r="AMR177"/>
      <c r="AMS177"/>
      <c r="AMT177"/>
      <c r="AMU177"/>
      <c r="AMV177"/>
      <c r="AMW177"/>
      <c r="AMX177"/>
      <c r="AMY177"/>
      <c r="AMZ177"/>
      <c r="ANA177"/>
      <c r="ANB177"/>
      <c r="ANC177"/>
      <c r="AND177"/>
      <c r="ANE177"/>
      <c r="ANF177"/>
      <c r="ANG177"/>
      <c r="ANH177"/>
      <c r="ANI177"/>
      <c r="ANJ177"/>
      <c r="ANK177"/>
      <c r="ANL177"/>
      <c r="ANM177"/>
      <c r="ANN177"/>
      <c r="ANO177"/>
      <c r="ANP177"/>
      <c r="ANQ177"/>
      <c r="ANR177"/>
      <c r="ANS177"/>
      <c r="ANT177"/>
      <c r="ANU177"/>
      <c r="ANV177"/>
      <c r="ANW177"/>
      <c r="ANX177"/>
      <c r="ANY177"/>
      <c r="ANZ177"/>
      <c r="AOA177"/>
      <c r="AOB177"/>
      <c r="AOC177"/>
      <c r="AOD177"/>
      <c r="AOE177"/>
      <c r="AOF177"/>
      <c r="AOG177"/>
      <c r="AOH177"/>
      <c r="AOI177"/>
      <c r="AOJ177"/>
      <c r="AOK177"/>
      <c r="AOL177"/>
      <c r="AOM177"/>
      <c r="AON177"/>
      <c r="AOO177"/>
      <c r="AOP177"/>
      <c r="AOQ177"/>
      <c r="AOR177"/>
      <c r="AOS177"/>
      <c r="AOT177"/>
      <c r="AOU177"/>
      <c r="AOV177"/>
      <c r="AOW177"/>
      <c r="AOX177"/>
      <c r="AOY177"/>
      <c r="AOZ177"/>
      <c r="APA177"/>
      <c r="APB177"/>
      <c r="APC177"/>
      <c r="APD177"/>
      <c r="APE177"/>
      <c r="APF177"/>
      <c r="APG177"/>
      <c r="APH177"/>
      <c r="API177"/>
      <c r="APJ177"/>
      <c r="APK177"/>
      <c r="APL177"/>
      <c r="APM177"/>
      <c r="APN177"/>
      <c r="APO177"/>
      <c r="APP177"/>
      <c r="APQ177"/>
      <c r="APR177"/>
      <c r="APS177"/>
      <c r="APT177"/>
      <c r="APU177"/>
      <c r="APV177"/>
      <c r="APW177"/>
      <c r="APX177"/>
      <c r="APY177"/>
      <c r="APZ177"/>
      <c r="AQA177"/>
      <c r="AQB177"/>
      <c r="AQC177"/>
      <c r="AQD177"/>
      <c r="AQE177"/>
      <c r="AQF177"/>
      <c r="AQG177"/>
      <c r="AQH177"/>
      <c r="AQI177"/>
      <c r="AQJ177"/>
      <c r="AQK177"/>
      <c r="AQL177"/>
      <c r="AQM177"/>
      <c r="AQN177"/>
      <c r="AQO177"/>
      <c r="AQP177"/>
      <c r="AQQ177"/>
      <c r="AQR177"/>
      <c r="AQS177"/>
      <c r="AQT177"/>
      <c r="AQU177"/>
      <c r="AQV177"/>
      <c r="AQW177"/>
      <c r="AQX177"/>
      <c r="AQY177"/>
      <c r="AQZ177"/>
      <c r="ARA177"/>
      <c r="ARB177"/>
      <c r="ARC177"/>
      <c r="ARD177"/>
      <c r="ARE177"/>
      <c r="ARF177"/>
      <c r="ARG177"/>
      <c r="ARH177"/>
      <c r="ARI177"/>
      <c r="ARJ177"/>
      <c r="ARK177"/>
      <c r="ARL177"/>
      <c r="ARM177"/>
      <c r="ARN177"/>
      <c r="ARO177"/>
      <c r="ARP177"/>
      <c r="ARQ177"/>
      <c r="ARR177"/>
      <c r="ARS177"/>
      <c r="ART177"/>
      <c r="ARU177"/>
      <c r="ARV177"/>
      <c r="ARW177"/>
      <c r="ARX177"/>
      <c r="ARY177"/>
      <c r="ARZ177"/>
      <c r="ASA177"/>
      <c r="ASB177"/>
      <c r="ASC177"/>
      <c r="ASD177"/>
      <c r="ASE177"/>
      <c r="ASF177"/>
      <c r="ASG177"/>
      <c r="ASH177"/>
      <c r="ASI177"/>
      <c r="ASJ177"/>
      <c r="ASK177"/>
      <c r="ASL177"/>
      <c r="ASM177"/>
      <c r="ASN177"/>
      <c r="ASO177"/>
      <c r="ASP177"/>
      <c r="ASQ177"/>
      <c r="ASR177"/>
      <c r="ASS177"/>
      <c r="AST177"/>
      <c r="ASU177"/>
      <c r="ASV177"/>
      <c r="ASW177"/>
      <c r="ASX177"/>
      <c r="ASY177"/>
      <c r="ASZ177"/>
      <c r="ATA177"/>
      <c r="ATB177"/>
      <c r="ATC177"/>
      <c r="ATD177"/>
      <c r="ATE177"/>
      <c r="ATF177"/>
      <c r="ATG177"/>
      <c r="ATH177"/>
      <c r="ATI177"/>
      <c r="ATJ177"/>
      <c r="ATK177"/>
      <c r="ATL177"/>
      <c r="ATM177"/>
      <c r="ATN177"/>
      <c r="ATO177"/>
      <c r="ATP177"/>
      <c r="ATQ177"/>
      <c r="ATR177"/>
      <c r="ATS177"/>
      <c r="ATT177"/>
      <c r="ATU177"/>
      <c r="ATV177"/>
      <c r="ATW177"/>
      <c r="ATX177"/>
      <c r="ATY177"/>
      <c r="ATZ177"/>
      <c r="AUA177"/>
      <c r="AUB177"/>
      <c r="AUC177"/>
      <c r="AUD177"/>
      <c r="AUE177"/>
      <c r="AUF177"/>
      <c r="AUG177"/>
      <c r="AUH177"/>
      <c r="AUI177"/>
      <c r="AUJ177"/>
      <c r="AUK177"/>
      <c r="AUL177"/>
      <c r="AUM177"/>
      <c r="AUN177"/>
      <c r="AUO177"/>
      <c r="AUP177"/>
      <c r="AUQ177"/>
      <c r="AUR177"/>
      <c r="AUS177"/>
      <c r="AUT177"/>
      <c r="AUU177"/>
      <c r="AUV177"/>
      <c r="AUW177"/>
      <c r="AUX177"/>
      <c r="AUY177"/>
      <c r="AUZ177"/>
      <c r="AVA177"/>
      <c r="AVB177"/>
      <c r="AVC177"/>
      <c r="AVD177"/>
      <c r="AVE177"/>
      <c r="AVF177"/>
      <c r="AVG177"/>
      <c r="AVH177"/>
      <c r="AVI177"/>
      <c r="AVJ177"/>
      <c r="AVK177"/>
      <c r="AVL177"/>
      <c r="AVM177"/>
      <c r="AVN177"/>
      <c r="AVO177"/>
      <c r="AVP177"/>
      <c r="AVQ177"/>
      <c r="AVR177"/>
      <c r="AVS177"/>
      <c r="AVT177"/>
      <c r="AVU177"/>
      <c r="AVV177"/>
      <c r="AVW177"/>
      <c r="AVX177"/>
      <c r="AVY177"/>
      <c r="AVZ177"/>
      <c r="AWA177"/>
      <c r="AWB177"/>
      <c r="AWC177"/>
      <c r="AWD177"/>
      <c r="AWE177"/>
      <c r="AWF177"/>
      <c r="AWG177"/>
      <c r="AWH177"/>
      <c r="AWI177"/>
      <c r="AWJ177"/>
      <c r="AWK177"/>
      <c r="AWL177"/>
      <c r="AWM177"/>
      <c r="AWN177"/>
      <c r="AWO177"/>
      <c r="AWP177"/>
      <c r="AWQ177"/>
      <c r="AWR177"/>
      <c r="AWS177"/>
      <c r="AWT177"/>
      <c r="AWU177"/>
      <c r="AWV177"/>
      <c r="AWW177"/>
      <c r="AWX177"/>
      <c r="AWY177"/>
      <c r="AWZ177"/>
      <c r="AXA177"/>
      <c r="AXB177"/>
      <c r="AXC177"/>
      <c r="AXD177"/>
      <c r="AXE177"/>
      <c r="AXF177"/>
      <c r="AXG177"/>
      <c r="AXH177"/>
      <c r="AXI177"/>
      <c r="AXJ177"/>
      <c r="AXK177"/>
      <c r="AXL177"/>
      <c r="AXM177"/>
      <c r="AXN177"/>
      <c r="AXO177"/>
      <c r="AXP177"/>
      <c r="AXQ177"/>
      <c r="AXR177"/>
      <c r="AXS177"/>
      <c r="AXT177"/>
      <c r="AXU177"/>
      <c r="AXV177"/>
      <c r="AXW177"/>
      <c r="AXX177"/>
      <c r="AXY177"/>
      <c r="AXZ177"/>
      <c r="AYA177"/>
      <c r="AYB177"/>
      <c r="AYC177"/>
      <c r="AYD177"/>
      <c r="AYE177"/>
      <c r="AYF177"/>
      <c r="AYG177"/>
      <c r="AYH177"/>
      <c r="AYI177"/>
      <c r="AYJ177"/>
      <c r="AYK177"/>
      <c r="AYL177"/>
      <c r="AYM177"/>
      <c r="AYN177"/>
      <c r="AYO177"/>
      <c r="AYP177"/>
      <c r="AYQ177"/>
      <c r="AYR177"/>
      <c r="AYS177"/>
      <c r="AYT177"/>
      <c r="AYU177"/>
      <c r="AYV177"/>
      <c r="AYW177"/>
      <c r="AYX177"/>
      <c r="AYY177"/>
      <c r="AYZ177"/>
      <c r="AZA177"/>
      <c r="AZB177"/>
      <c r="AZC177"/>
      <c r="AZD177"/>
      <c r="AZE177"/>
      <c r="AZF177"/>
      <c r="AZG177"/>
      <c r="AZH177"/>
      <c r="AZI177"/>
      <c r="AZJ177"/>
      <c r="AZK177"/>
      <c r="AZL177"/>
      <c r="AZM177"/>
      <c r="AZN177"/>
      <c r="AZO177"/>
      <c r="AZP177"/>
      <c r="AZQ177"/>
      <c r="AZR177"/>
      <c r="AZS177"/>
      <c r="AZT177"/>
      <c r="AZU177"/>
      <c r="AZV177"/>
      <c r="AZW177"/>
      <c r="AZX177"/>
      <c r="AZY177"/>
      <c r="AZZ177"/>
      <c r="BAA177"/>
      <c r="BAB177"/>
      <c r="BAC177"/>
      <c r="BAD177"/>
      <c r="BAE177"/>
      <c r="BAF177"/>
      <c r="BAG177"/>
      <c r="BAH177"/>
      <c r="BAI177"/>
      <c r="BAJ177"/>
      <c r="BAK177"/>
      <c r="BAL177"/>
      <c r="BAM177"/>
      <c r="BAN177"/>
      <c r="BAO177"/>
      <c r="BAP177"/>
      <c r="BAQ177"/>
      <c r="BAR177"/>
      <c r="BAS177"/>
      <c r="BAT177"/>
      <c r="BAU177"/>
      <c r="BAV177"/>
      <c r="BAW177"/>
      <c r="BAX177"/>
      <c r="BAY177"/>
      <c r="BAZ177"/>
      <c r="BBA177"/>
      <c r="BBB177"/>
      <c r="BBC177"/>
      <c r="BBD177"/>
      <c r="BBE177"/>
      <c r="BBF177"/>
      <c r="BBG177"/>
      <c r="BBH177"/>
      <c r="BBI177"/>
      <c r="BBJ177"/>
      <c r="BBK177"/>
      <c r="BBL177"/>
      <c r="BBM177"/>
      <c r="BBN177"/>
      <c r="BBO177"/>
      <c r="BBP177"/>
      <c r="BBQ177"/>
      <c r="BBR177"/>
      <c r="BBS177"/>
      <c r="BBT177"/>
      <c r="BBU177"/>
      <c r="BBV177"/>
      <c r="BBW177"/>
      <c r="BBX177"/>
      <c r="BBY177"/>
      <c r="BBZ177"/>
      <c r="BCA177"/>
      <c r="BCB177"/>
      <c r="BCC177"/>
      <c r="BCD177"/>
      <c r="BCE177"/>
      <c r="BCF177"/>
      <c r="BCG177"/>
      <c r="BCH177"/>
      <c r="BCI177"/>
      <c r="BCJ177"/>
      <c r="BCK177"/>
      <c r="BCL177"/>
      <c r="BCM177"/>
      <c r="BCN177"/>
      <c r="BCO177"/>
      <c r="BCP177"/>
      <c r="BCQ177"/>
      <c r="BCR177"/>
      <c r="BCS177"/>
      <c r="BCT177"/>
      <c r="BCU177"/>
      <c r="BCV177"/>
      <c r="BCW177"/>
      <c r="BCX177"/>
      <c r="BCY177"/>
      <c r="BCZ177"/>
      <c r="BDA177"/>
      <c r="BDB177"/>
      <c r="BDC177"/>
      <c r="BDD177"/>
      <c r="BDE177"/>
      <c r="BDF177"/>
      <c r="BDG177"/>
      <c r="BDH177"/>
      <c r="BDI177"/>
      <c r="BDJ177"/>
      <c r="BDK177"/>
      <c r="BDL177"/>
      <c r="BDM177"/>
      <c r="BDN177"/>
      <c r="BDO177"/>
      <c r="BDP177"/>
      <c r="BDQ177"/>
      <c r="BDR177"/>
      <c r="BDS177"/>
      <c r="BDT177"/>
      <c r="BDU177"/>
      <c r="BDV177"/>
      <c r="BDW177"/>
      <c r="BDX177"/>
      <c r="BDY177"/>
      <c r="BDZ177"/>
      <c r="BEA177"/>
      <c r="BEB177"/>
      <c r="BEC177"/>
      <c r="BED177"/>
      <c r="BEE177"/>
      <c r="BEF177"/>
      <c r="BEG177"/>
      <c r="BEH177"/>
      <c r="BEI177"/>
      <c r="BEJ177"/>
      <c r="BEK177"/>
      <c r="BEL177"/>
      <c r="BEM177"/>
      <c r="BEN177"/>
      <c r="BEO177"/>
      <c r="BEP177"/>
      <c r="BEQ177"/>
      <c r="BER177"/>
      <c r="BES177"/>
      <c r="BET177"/>
      <c r="BEU177"/>
      <c r="BEV177"/>
      <c r="BEW177"/>
      <c r="BEX177"/>
      <c r="BEY177"/>
      <c r="BEZ177"/>
      <c r="BFA177"/>
      <c r="BFB177"/>
      <c r="BFC177"/>
      <c r="BFD177"/>
      <c r="BFE177"/>
      <c r="BFF177"/>
      <c r="BFG177"/>
      <c r="BFH177"/>
      <c r="BFI177"/>
      <c r="BFJ177"/>
      <c r="BFK177"/>
      <c r="BFL177"/>
      <c r="BFM177"/>
      <c r="BFN177"/>
      <c r="BFO177"/>
      <c r="BFP177"/>
      <c r="BFQ177"/>
      <c r="BFR177"/>
      <c r="BFS177"/>
      <c r="BFT177"/>
      <c r="BFU177"/>
      <c r="BFV177"/>
      <c r="BFW177"/>
      <c r="BFX177"/>
      <c r="BFY177"/>
      <c r="BFZ177"/>
      <c r="BGA177"/>
      <c r="BGB177"/>
      <c r="BGC177"/>
      <c r="BGD177"/>
      <c r="BGE177"/>
      <c r="BGF177"/>
      <c r="BGG177"/>
      <c r="BGH177"/>
      <c r="BGI177"/>
      <c r="BGJ177"/>
      <c r="BGK177"/>
      <c r="BGL177"/>
      <c r="BGM177"/>
      <c r="BGN177"/>
      <c r="BGO177"/>
      <c r="BGP177"/>
      <c r="BGQ177"/>
      <c r="BGR177"/>
      <c r="BGS177"/>
      <c r="BGT177"/>
      <c r="BGU177"/>
      <c r="BGV177"/>
      <c r="BGW177"/>
      <c r="BGX177"/>
      <c r="BGY177"/>
      <c r="BGZ177"/>
      <c r="BHA177"/>
      <c r="BHB177"/>
      <c r="BHC177"/>
      <c r="BHD177"/>
      <c r="BHE177"/>
      <c r="BHF177"/>
      <c r="BHG177"/>
      <c r="BHH177"/>
      <c r="BHI177"/>
      <c r="BHJ177"/>
      <c r="BHK177"/>
      <c r="BHL177"/>
      <c r="BHM177"/>
      <c r="BHN177"/>
      <c r="BHO177"/>
      <c r="BHP177"/>
      <c r="BHQ177"/>
      <c r="BHR177"/>
      <c r="BHS177"/>
      <c r="BHT177"/>
      <c r="BHU177"/>
      <c r="BHV177"/>
      <c r="BHW177"/>
      <c r="BHX177"/>
      <c r="BHY177"/>
      <c r="BHZ177"/>
      <c r="BIA177"/>
      <c r="BIB177"/>
      <c r="BIC177"/>
      <c r="BID177"/>
      <c r="BIE177"/>
      <c r="BIF177"/>
      <c r="BIG177"/>
      <c r="BIH177"/>
      <c r="BII177"/>
      <c r="BIJ177"/>
      <c r="BIK177"/>
      <c r="BIL177"/>
      <c r="BIM177"/>
      <c r="BIN177"/>
      <c r="BIO177"/>
      <c r="BIP177"/>
      <c r="BIQ177"/>
      <c r="BIR177"/>
      <c r="BIS177"/>
      <c r="BIT177"/>
      <c r="BIU177"/>
      <c r="BIV177"/>
      <c r="BIW177"/>
      <c r="BIX177"/>
      <c r="BIY177"/>
      <c r="BIZ177"/>
      <c r="BJA177"/>
      <c r="BJB177"/>
      <c r="BJC177"/>
      <c r="BJD177"/>
      <c r="BJE177"/>
      <c r="BJF177"/>
      <c r="BJG177"/>
      <c r="BJH177"/>
      <c r="BJI177"/>
      <c r="BJJ177"/>
      <c r="BJK177"/>
      <c r="BJL177"/>
      <c r="BJM177"/>
      <c r="BJN177"/>
      <c r="BJO177"/>
      <c r="BJP177"/>
      <c r="BJQ177"/>
      <c r="BJR177"/>
      <c r="BJS177"/>
      <c r="BJT177"/>
      <c r="BJU177"/>
      <c r="BJV177"/>
      <c r="BJW177"/>
      <c r="BJX177"/>
      <c r="BJY177"/>
      <c r="BJZ177"/>
      <c r="BKA177"/>
      <c r="BKB177"/>
      <c r="BKC177"/>
      <c r="BKD177"/>
      <c r="BKE177"/>
      <c r="BKF177"/>
      <c r="BKG177"/>
      <c r="BKH177"/>
      <c r="BKI177"/>
      <c r="BKJ177"/>
      <c r="BKK177"/>
      <c r="BKL177"/>
      <c r="BKM177"/>
      <c r="BKN177"/>
      <c r="BKO177"/>
      <c r="BKP177"/>
      <c r="BKQ177"/>
      <c r="BKR177"/>
      <c r="BKS177"/>
      <c r="BKT177"/>
      <c r="BKU177"/>
      <c r="BKV177"/>
      <c r="BKW177"/>
      <c r="BKX177"/>
      <c r="BKY177"/>
      <c r="BKZ177"/>
      <c r="BLA177"/>
      <c r="BLB177"/>
      <c r="BLC177"/>
      <c r="BLD177"/>
      <c r="BLE177"/>
      <c r="BLF177"/>
      <c r="BLG177"/>
      <c r="BLH177"/>
      <c r="BLI177"/>
      <c r="BLJ177"/>
      <c r="BLK177"/>
      <c r="BLL177"/>
      <c r="BLM177"/>
      <c r="BLN177"/>
      <c r="BLO177"/>
      <c r="BLP177"/>
      <c r="BLQ177"/>
      <c r="BLR177"/>
      <c r="BLS177"/>
      <c r="BLT177"/>
      <c r="BLU177"/>
      <c r="BLV177"/>
      <c r="BLW177"/>
      <c r="BLX177"/>
      <c r="BLY177"/>
      <c r="BLZ177"/>
      <c r="BMA177"/>
      <c r="BMB177"/>
      <c r="BMC177"/>
      <c r="BMD177"/>
      <c r="BME177"/>
      <c r="BMF177"/>
      <c r="BMG177"/>
      <c r="BMH177"/>
      <c r="BMI177"/>
      <c r="BMJ177"/>
      <c r="BMK177"/>
      <c r="BML177"/>
      <c r="BMM177"/>
      <c r="BMN177"/>
      <c r="BMO177"/>
      <c r="BMP177"/>
      <c r="BMQ177"/>
      <c r="BMR177"/>
      <c r="BMS177"/>
      <c r="BMT177"/>
      <c r="BMU177"/>
      <c r="BMV177"/>
      <c r="BMW177"/>
      <c r="BMX177"/>
      <c r="BMY177"/>
      <c r="BMZ177"/>
      <c r="BNA177"/>
      <c r="BNB177"/>
      <c r="BNC177"/>
      <c r="BND177"/>
      <c r="BNE177"/>
      <c r="BNF177"/>
      <c r="BNG177"/>
      <c r="BNH177"/>
      <c r="BNI177"/>
      <c r="BNJ177"/>
      <c r="BNK177"/>
      <c r="BNL177"/>
      <c r="BNM177"/>
      <c r="BNN177"/>
      <c r="BNO177"/>
      <c r="BNP177"/>
      <c r="BNQ177"/>
      <c r="BNR177"/>
      <c r="BNS177"/>
      <c r="BNT177"/>
      <c r="BNU177"/>
      <c r="BNV177"/>
      <c r="BNW177"/>
      <c r="BNX177"/>
      <c r="BNY177"/>
      <c r="BNZ177"/>
      <c r="BOA177"/>
      <c r="BOB177"/>
      <c r="BOC177"/>
      <c r="BOD177"/>
      <c r="BOE177"/>
      <c r="BOF177"/>
      <c r="BOG177"/>
      <c r="BOH177"/>
      <c r="BOI177"/>
      <c r="BOJ177"/>
      <c r="BOK177"/>
      <c r="BOL177"/>
      <c r="BOM177"/>
      <c r="BON177"/>
      <c r="BOO177"/>
      <c r="BOP177"/>
      <c r="BOQ177"/>
      <c r="BOR177"/>
      <c r="BOS177"/>
      <c r="BOT177"/>
      <c r="BOU177"/>
      <c r="BOV177"/>
      <c r="BOW177"/>
      <c r="BOX177"/>
      <c r="BOY177"/>
      <c r="BOZ177"/>
      <c r="BPA177"/>
      <c r="BPB177"/>
      <c r="BPC177"/>
      <c r="BPD177"/>
      <c r="BPE177"/>
      <c r="BPF177"/>
      <c r="BPG177"/>
      <c r="BPH177"/>
      <c r="BPI177"/>
      <c r="BPJ177"/>
      <c r="BPK177"/>
      <c r="BPL177"/>
      <c r="BPM177"/>
      <c r="BPN177"/>
      <c r="BPO177"/>
      <c r="BPP177"/>
      <c r="BPQ177"/>
      <c r="BPR177"/>
      <c r="BPS177"/>
      <c r="BPT177"/>
      <c r="BPU177"/>
      <c r="BPV177"/>
      <c r="BPW177"/>
      <c r="BPX177"/>
      <c r="BPY177"/>
      <c r="BPZ177"/>
      <c r="BQA177"/>
      <c r="BQB177"/>
      <c r="BQC177"/>
      <c r="BQD177"/>
      <c r="BQE177"/>
      <c r="BQF177"/>
      <c r="BQG177"/>
      <c r="BQH177"/>
      <c r="BQI177"/>
      <c r="BQJ177"/>
      <c r="BQK177"/>
      <c r="BQL177"/>
      <c r="BQM177"/>
      <c r="BQN177"/>
      <c r="BQO177"/>
      <c r="BQP177"/>
      <c r="BQQ177"/>
      <c r="BQR177"/>
      <c r="BQS177"/>
      <c r="BQT177"/>
      <c r="BQU177"/>
      <c r="BQV177"/>
      <c r="BQW177"/>
      <c r="BQX177"/>
      <c r="BQY177"/>
      <c r="BQZ177"/>
      <c r="BRA177"/>
      <c r="BRB177"/>
      <c r="BRC177"/>
      <c r="BRD177"/>
      <c r="BRE177"/>
      <c r="BRF177"/>
      <c r="BRG177"/>
      <c r="BRH177"/>
      <c r="BRI177"/>
      <c r="BRJ177"/>
      <c r="BRK177"/>
      <c r="BRL177"/>
      <c r="BRM177"/>
      <c r="BRN177"/>
      <c r="BRO177"/>
      <c r="BRP177"/>
      <c r="BRQ177"/>
      <c r="BRR177"/>
      <c r="BRS177"/>
      <c r="BRT177"/>
      <c r="BRU177"/>
      <c r="BRV177"/>
      <c r="BRW177"/>
      <c r="BRX177"/>
      <c r="BRY177"/>
      <c r="BRZ177"/>
      <c r="BSA177"/>
      <c r="BSB177"/>
      <c r="BSC177"/>
      <c r="BSD177"/>
      <c r="BSE177"/>
      <c r="BSF177"/>
      <c r="BSG177"/>
      <c r="BSH177"/>
      <c r="BSI177"/>
      <c r="BSJ177"/>
      <c r="BSK177"/>
      <c r="BSL177"/>
      <c r="BSM177"/>
      <c r="BSN177"/>
      <c r="BSO177"/>
      <c r="BSP177"/>
      <c r="BSQ177"/>
      <c r="BSR177"/>
      <c r="BSS177"/>
      <c r="BST177"/>
      <c r="BSU177"/>
      <c r="BSV177"/>
      <c r="BSW177"/>
      <c r="BSX177"/>
      <c r="BSY177"/>
      <c r="BSZ177"/>
      <c r="BTA177"/>
      <c r="BTB177"/>
      <c r="BTC177"/>
      <c r="BTD177"/>
      <c r="BTE177"/>
      <c r="BTF177"/>
      <c r="BTG177"/>
      <c r="BTH177"/>
      <c r="BTI177"/>
      <c r="BTJ177"/>
      <c r="BTK177"/>
      <c r="BTL177"/>
      <c r="BTM177"/>
      <c r="BTN177"/>
      <c r="BTO177"/>
      <c r="BTP177"/>
      <c r="BTQ177"/>
      <c r="BTR177"/>
      <c r="BTS177"/>
      <c r="BTT177"/>
      <c r="BTU177"/>
      <c r="BTV177"/>
      <c r="BTW177"/>
      <c r="BTX177"/>
      <c r="BTY177"/>
      <c r="BTZ177"/>
      <c r="BUA177"/>
      <c r="BUB177"/>
      <c r="BUC177"/>
      <c r="BUD177"/>
      <c r="BUE177"/>
      <c r="BUF177"/>
      <c r="BUG177"/>
      <c r="BUH177"/>
      <c r="BUI177"/>
      <c r="BUJ177"/>
      <c r="BUK177"/>
      <c r="BUL177"/>
      <c r="BUM177"/>
      <c r="BUN177"/>
      <c r="BUO177"/>
      <c r="BUP177"/>
      <c r="BUQ177"/>
      <c r="BUR177"/>
      <c r="BUS177"/>
      <c r="BUT177"/>
      <c r="BUU177"/>
      <c r="BUV177"/>
      <c r="BUW177"/>
      <c r="BUX177"/>
      <c r="BUY177"/>
      <c r="BUZ177"/>
      <c r="BVA177"/>
      <c r="BVB177"/>
      <c r="BVC177"/>
      <c r="BVD177"/>
      <c r="BVE177"/>
      <c r="BVF177"/>
      <c r="BVG177"/>
      <c r="BVH177"/>
      <c r="BVI177"/>
      <c r="BVJ177"/>
      <c r="BVK177"/>
      <c r="BVL177"/>
      <c r="BVM177"/>
      <c r="BVN177"/>
      <c r="BVO177"/>
      <c r="BVP177"/>
      <c r="BVQ177"/>
      <c r="BVR177"/>
      <c r="BVS177"/>
      <c r="BVT177"/>
      <c r="BVU177"/>
      <c r="BVV177"/>
      <c r="BVW177"/>
      <c r="BVX177"/>
      <c r="BVY177"/>
      <c r="BVZ177"/>
      <c r="BWA177"/>
      <c r="BWB177"/>
      <c r="BWC177"/>
      <c r="BWD177"/>
      <c r="BWE177"/>
      <c r="BWF177"/>
      <c r="BWG177"/>
      <c r="BWH177"/>
      <c r="BWI177"/>
      <c r="BWJ177"/>
      <c r="BWK177"/>
      <c r="BWL177"/>
      <c r="BWM177"/>
      <c r="BWN177"/>
      <c r="BWO177"/>
      <c r="BWP177"/>
      <c r="BWQ177"/>
      <c r="BWR177"/>
      <c r="BWS177"/>
      <c r="BWT177"/>
      <c r="BWU177"/>
      <c r="BWV177"/>
      <c r="BWW177"/>
      <c r="BWX177"/>
      <c r="BWY177"/>
      <c r="BWZ177"/>
      <c r="BXA177"/>
      <c r="BXB177"/>
      <c r="BXC177"/>
      <c r="BXD177"/>
      <c r="BXE177"/>
      <c r="BXF177"/>
      <c r="BXG177"/>
      <c r="BXH177"/>
      <c r="BXI177"/>
      <c r="BXJ177"/>
      <c r="BXK177"/>
      <c r="BXL177"/>
      <c r="BXM177"/>
      <c r="BXN177"/>
      <c r="BXO177"/>
      <c r="BXP177"/>
      <c r="BXQ177"/>
      <c r="BXR177"/>
      <c r="BXS177"/>
      <c r="BXT177"/>
      <c r="BXU177"/>
      <c r="BXV177"/>
      <c r="BXW177"/>
      <c r="BXX177"/>
      <c r="BXY177"/>
      <c r="BXZ177"/>
      <c r="BYA177"/>
      <c r="BYB177"/>
      <c r="BYC177"/>
      <c r="BYD177"/>
      <c r="BYE177"/>
      <c r="BYF177"/>
      <c r="BYG177"/>
      <c r="BYH177"/>
      <c r="BYI177"/>
      <c r="BYJ177"/>
      <c r="BYK177"/>
      <c r="BYL177"/>
      <c r="BYM177"/>
      <c r="BYN177"/>
      <c r="BYO177"/>
      <c r="BYP177"/>
      <c r="BYQ177"/>
      <c r="BYR177"/>
      <c r="BYS177"/>
      <c r="BYT177"/>
      <c r="BYU177"/>
      <c r="BYV177"/>
      <c r="BYW177"/>
      <c r="BYX177"/>
      <c r="BYY177"/>
      <c r="BYZ177"/>
      <c r="BZA177"/>
      <c r="BZB177"/>
      <c r="BZC177"/>
      <c r="BZD177"/>
      <c r="BZE177"/>
      <c r="BZF177"/>
      <c r="BZG177"/>
      <c r="BZH177"/>
      <c r="BZI177"/>
      <c r="BZJ177"/>
      <c r="BZK177"/>
      <c r="BZL177"/>
      <c r="BZM177"/>
      <c r="BZN177"/>
      <c r="BZO177"/>
      <c r="BZP177"/>
      <c r="BZQ177"/>
      <c r="BZR177"/>
      <c r="BZS177"/>
      <c r="BZT177"/>
      <c r="BZU177"/>
      <c r="BZV177"/>
      <c r="BZW177"/>
      <c r="BZX177"/>
      <c r="BZY177"/>
      <c r="BZZ177"/>
      <c r="CAA177"/>
      <c r="CAB177"/>
      <c r="CAC177"/>
      <c r="CAD177"/>
      <c r="CAE177"/>
      <c r="CAF177"/>
      <c r="CAG177"/>
      <c r="CAH177"/>
      <c r="CAI177"/>
      <c r="CAJ177"/>
      <c r="CAK177"/>
      <c r="CAL177"/>
      <c r="CAM177"/>
      <c r="CAN177"/>
      <c r="CAO177"/>
      <c r="CAP177"/>
      <c r="CAQ177"/>
      <c r="CAR177"/>
      <c r="CAS177"/>
      <c r="CAT177"/>
      <c r="CAU177"/>
      <c r="CAV177"/>
      <c r="CAW177"/>
      <c r="CAX177"/>
      <c r="CAY177"/>
      <c r="CAZ177"/>
      <c r="CBA177"/>
      <c r="CBB177"/>
      <c r="CBC177"/>
      <c r="CBD177"/>
      <c r="CBE177"/>
      <c r="CBF177"/>
      <c r="CBG177"/>
      <c r="CBH177"/>
      <c r="CBI177"/>
      <c r="CBJ177"/>
      <c r="CBK177"/>
      <c r="CBL177"/>
      <c r="CBM177"/>
      <c r="CBN177"/>
      <c r="CBO177"/>
      <c r="CBP177"/>
      <c r="CBQ177"/>
      <c r="CBR177"/>
      <c r="CBS177"/>
      <c r="CBT177"/>
      <c r="CBU177"/>
      <c r="CBV177"/>
      <c r="CBW177"/>
      <c r="CBX177"/>
      <c r="CBY177"/>
      <c r="CBZ177"/>
      <c r="CCA177"/>
      <c r="CCB177"/>
      <c r="CCC177"/>
      <c r="CCD177"/>
      <c r="CCE177"/>
      <c r="CCF177"/>
      <c r="CCG177"/>
      <c r="CCH177"/>
      <c r="CCI177"/>
      <c r="CCJ177"/>
      <c r="CCK177"/>
      <c r="CCL177"/>
      <c r="CCM177"/>
      <c r="CCN177"/>
      <c r="CCO177"/>
      <c r="CCP177"/>
      <c r="CCQ177"/>
      <c r="CCR177"/>
      <c r="CCS177"/>
      <c r="CCT177"/>
      <c r="CCU177"/>
      <c r="CCV177"/>
      <c r="CCW177"/>
      <c r="CCX177"/>
      <c r="CCY177"/>
      <c r="CCZ177"/>
      <c r="CDA177"/>
      <c r="CDB177"/>
      <c r="CDC177"/>
      <c r="CDD177"/>
      <c r="CDE177"/>
      <c r="CDF177"/>
      <c r="CDG177"/>
      <c r="CDH177"/>
      <c r="CDI177"/>
      <c r="CDJ177"/>
      <c r="CDK177"/>
      <c r="CDL177"/>
      <c r="CDM177"/>
      <c r="CDN177"/>
      <c r="CDO177"/>
      <c r="CDP177"/>
      <c r="CDQ177"/>
      <c r="CDR177"/>
      <c r="CDS177"/>
      <c r="CDT177"/>
      <c r="CDU177"/>
      <c r="CDV177"/>
      <c r="CDW177"/>
      <c r="CDX177"/>
      <c r="CDY177"/>
      <c r="CDZ177"/>
      <c r="CEA177"/>
      <c r="CEB177"/>
      <c r="CEC177"/>
      <c r="CED177"/>
      <c r="CEE177"/>
      <c r="CEF177"/>
      <c r="CEG177"/>
      <c r="CEH177"/>
      <c r="CEI177"/>
      <c r="CEJ177"/>
      <c r="CEK177"/>
      <c r="CEL177"/>
      <c r="CEM177"/>
      <c r="CEN177"/>
      <c r="CEO177"/>
      <c r="CEP177"/>
      <c r="CEQ177"/>
      <c r="CER177"/>
      <c r="CES177"/>
      <c r="CET177"/>
      <c r="CEU177"/>
      <c r="CEV177"/>
      <c r="CEW177"/>
      <c r="CEX177"/>
      <c r="CEY177"/>
      <c r="CEZ177"/>
      <c r="CFA177"/>
      <c r="CFB177"/>
      <c r="CFC177"/>
      <c r="CFD177"/>
      <c r="CFE177"/>
      <c r="CFF177"/>
      <c r="CFG177"/>
      <c r="CFH177"/>
      <c r="CFI177"/>
      <c r="CFJ177"/>
      <c r="CFK177"/>
      <c r="CFL177"/>
      <c r="CFM177"/>
      <c r="CFN177"/>
      <c r="CFO177"/>
      <c r="CFP177"/>
      <c r="CFQ177"/>
      <c r="CFR177"/>
      <c r="CFS177"/>
      <c r="CFT177"/>
      <c r="CFU177"/>
      <c r="CFV177"/>
      <c r="CFW177"/>
      <c r="CFX177"/>
      <c r="CFY177"/>
      <c r="CFZ177"/>
      <c r="CGA177"/>
      <c r="CGB177"/>
      <c r="CGC177"/>
      <c r="CGD177"/>
      <c r="CGE177"/>
      <c r="CGF177"/>
      <c r="CGG177"/>
      <c r="CGH177"/>
      <c r="CGI177"/>
      <c r="CGJ177"/>
      <c r="CGK177"/>
      <c r="CGL177"/>
      <c r="CGM177"/>
      <c r="CGN177"/>
      <c r="CGO177"/>
      <c r="CGP177"/>
      <c r="CGQ177"/>
      <c r="CGR177"/>
      <c r="CGS177"/>
      <c r="CGT177"/>
      <c r="CGU177"/>
      <c r="CGV177"/>
      <c r="CGW177"/>
      <c r="CGX177"/>
      <c r="CGY177"/>
      <c r="CGZ177"/>
      <c r="CHA177"/>
      <c r="CHB177"/>
      <c r="CHC177"/>
      <c r="CHD177"/>
      <c r="CHE177"/>
      <c r="CHF177"/>
      <c r="CHG177"/>
      <c r="CHH177"/>
      <c r="CHI177"/>
      <c r="CHJ177"/>
      <c r="CHK177"/>
      <c r="CHL177"/>
      <c r="CHM177"/>
      <c r="CHN177"/>
      <c r="CHO177"/>
      <c r="CHP177"/>
      <c r="CHQ177"/>
      <c r="CHR177"/>
      <c r="CHS177"/>
      <c r="CHT177"/>
      <c r="CHU177"/>
      <c r="CHV177"/>
      <c r="CHW177"/>
      <c r="CHX177"/>
      <c r="CHY177"/>
      <c r="CHZ177"/>
      <c r="CIA177"/>
      <c r="CIB177"/>
      <c r="CIC177"/>
      <c r="CID177"/>
      <c r="CIE177"/>
      <c r="CIF177"/>
      <c r="CIG177"/>
      <c r="CIH177"/>
      <c r="CII177"/>
      <c r="CIJ177"/>
      <c r="CIK177"/>
      <c r="CIL177"/>
      <c r="CIM177"/>
      <c r="CIN177"/>
      <c r="CIO177"/>
      <c r="CIP177"/>
      <c r="CIQ177"/>
      <c r="CIR177"/>
      <c r="CIS177"/>
      <c r="CIT177"/>
      <c r="CIU177"/>
      <c r="CIV177"/>
      <c r="CIW177"/>
      <c r="CIX177"/>
      <c r="CIY177"/>
      <c r="CIZ177"/>
      <c r="CJA177"/>
      <c r="CJB177"/>
      <c r="CJC177"/>
      <c r="CJD177"/>
      <c r="CJE177"/>
      <c r="CJF177"/>
      <c r="CJG177"/>
      <c r="CJH177"/>
      <c r="CJI177"/>
      <c r="CJJ177"/>
      <c r="CJK177"/>
      <c r="CJL177"/>
      <c r="CJM177"/>
      <c r="CJN177"/>
      <c r="CJO177"/>
      <c r="CJP177"/>
      <c r="CJQ177"/>
      <c r="CJR177"/>
      <c r="CJS177"/>
      <c r="CJT177"/>
      <c r="CJU177"/>
      <c r="CJV177"/>
      <c r="CJW177"/>
      <c r="CJX177"/>
      <c r="CJY177"/>
      <c r="CJZ177"/>
      <c r="CKA177"/>
      <c r="CKB177"/>
      <c r="CKC177"/>
      <c r="CKD177"/>
      <c r="CKE177"/>
      <c r="CKF177"/>
      <c r="CKG177"/>
      <c r="CKH177"/>
      <c r="CKI177"/>
      <c r="CKJ177"/>
      <c r="CKK177"/>
      <c r="CKL177"/>
      <c r="CKM177"/>
      <c r="CKN177"/>
      <c r="CKO177"/>
      <c r="CKP177"/>
      <c r="CKQ177"/>
      <c r="CKR177"/>
      <c r="CKS177"/>
      <c r="CKT177"/>
      <c r="CKU177"/>
      <c r="CKV177"/>
      <c r="CKW177"/>
      <c r="CKX177"/>
      <c r="CKY177"/>
      <c r="CKZ177"/>
      <c r="CLA177"/>
      <c r="CLB177"/>
      <c r="CLC177"/>
      <c r="CLD177"/>
      <c r="CLE177"/>
      <c r="CLF177"/>
      <c r="CLG177"/>
      <c r="CLH177"/>
      <c r="CLI177"/>
      <c r="CLJ177"/>
      <c r="CLK177"/>
      <c r="CLL177"/>
      <c r="CLM177"/>
      <c r="CLN177"/>
      <c r="CLO177"/>
      <c r="CLP177"/>
      <c r="CLQ177"/>
      <c r="CLR177"/>
      <c r="CLS177"/>
      <c r="CLT177"/>
      <c r="CLU177"/>
      <c r="CLV177"/>
      <c r="CLW177"/>
      <c r="CLX177"/>
      <c r="CLY177"/>
      <c r="CLZ177"/>
      <c r="CMA177"/>
      <c r="CMB177"/>
      <c r="CMC177"/>
      <c r="CMD177"/>
      <c r="CME177"/>
      <c r="CMF177"/>
      <c r="CMG177"/>
      <c r="CMH177"/>
      <c r="CMI177"/>
      <c r="CMJ177"/>
      <c r="CMK177"/>
      <c r="CML177"/>
      <c r="CMM177"/>
      <c r="CMN177"/>
      <c r="CMO177"/>
      <c r="CMP177"/>
      <c r="CMQ177"/>
      <c r="CMR177"/>
      <c r="CMS177"/>
      <c r="CMT177"/>
      <c r="CMU177"/>
      <c r="CMV177"/>
      <c r="CMW177"/>
      <c r="CMX177"/>
      <c r="CMY177"/>
      <c r="CMZ177"/>
      <c r="CNA177"/>
      <c r="CNB177"/>
      <c r="CNC177"/>
      <c r="CND177"/>
      <c r="CNE177"/>
      <c r="CNF177"/>
      <c r="CNG177"/>
      <c r="CNH177"/>
      <c r="CNI177"/>
      <c r="CNJ177"/>
      <c r="CNK177"/>
      <c r="CNL177"/>
      <c r="CNM177"/>
      <c r="CNN177"/>
      <c r="CNO177"/>
      <c r="CNP177"/>
      <c r="CNQ177"/>
      <c r="CNR177"/>
      <c r="CNS177"/>
      <c r="CNT177"/>
      <c r="CNU177"/>
      <c r="CNV177"/>
      <c r="CNW177"/>
      <c r="CNX177"/>
      <c r="CNY177"/>
      <c r="CNZ177"/>
      <c r="COA177"/>
      <c r="COB177"/>
      <c r="COC177"/>
      <c r="COD177"/>
      <c r="COE177"/>
      <c r="COF177"/>
      <c r="COG177"/>
      <c r="COH177"/>
      <c r="COI177"/>
      <c r="COJ177"/>
      <c r="COK177"/>
      <c r="COL177"/>
      <c r="COM177"/>
      <c r="CON177"/>
      <c r="COO177"/>
      <c r="COP177"/>
      <c r="COQ177"/>
      <c r="COR177"/>
      <c r="COS177"/>
      <c r="COT177"/>
      <c r="COU177"/>
      <c r="COV177"/>
      <c r="COW177"/>
      <c r="COX177"/>
      <c r="COY177"/>
      <c r="COZ177"/>
      <c r="CPA177"/>
      <c r="CPB177"/>
      <c r="CPC177"/>
      <c r="CPD177"/>
      <c r="CPE177"/>
      <c r="CPF177"/>
      <c r="CPG177"/>
      <c r="CPH177"/>
      <c r="CPI177"/>
      <c r="CPJ177"/>
      <c r="CPK177"/>
      <c r="CPL177"/>
      <c r="CPM177"/>
      <c r="CPN177"/>
      <c r="CPO177"/>
      <c r="CPP177"/>
      <c r="CPQ177"/>
      <c r="CPR177"/>
      <c r="CPS177"/>
      <c r="CPT177"/>
      <c r="CPU177"/>
      <c r="CPV177"/>
      <c r="CPW177"/>
      <c r="CPX177"/>
      <c r="CPY177"/>
      <c r="CPZ177"/>
      <c r="CQA177"/>
      <c r="CQB177"/>
      <c r="CQC177"/>
      <c r="CQD177"/>
      <c r="CQE177"/>
      <c r="CQF177"/>
      <c r="CQG177"/>
      <c r="CQH177"/>
      <c r="CQI177"/>
      <c r="CQJ177"/>
      <c r="CQK177"/>
      <c r="CQL177"/>
      <c r="CQM177"/>
      <c r="CQN177"/>
      <c r="CQO177"/>
      <c r="CQP177"/>
      <c r="CQQ177"/>
      <c r="CQR177"/>
      <c r="CQS177"/>
      <c r="CQT177"/>
      <c r="CQU177"/>
      <c r="CQV177"/>
      <c r="CQW177"/>
      <c r="CQX177"/>
      <c r="CQY177"/>
      <c r="CQZ177"/>
      <c r="CRA177"/>
      <c r="CRB177"/>
      <c r="CRC177"/>
      <c r="CRD177"/>
      <c r="CRE177"/>
      <c r="CRF177"/>
      <c r="CRG177"/>
      <c r="CRH177"/>
      <c r="CRI177"/>
      <c r="CRJ177"/>
      <c r="CRK177"/>
      <c r="CRL177"/>
      <c r="CRM177"/>
    </row>
    <row r="178" spans="1:2509" ht="15" customHeight="1" x14ac:dyDescent="0.35">
      <c r="A178" s="314"/>
      <c r="B178" s="52" t="s">
        <v>677</v>
      </c>
      <c r="C178" s="18">
        <v>0</v>
      </c>
      <c r="D178" s="18">
        <v>500</v>
      </c>
      <c r="E178" s="18">
        <v>1000</v>
      </c>
      <c r="F178" s="18">
        <v>1500</v>
      </c>
      <c r="G178" s="18">
        <v>2000</v>
      </c>
      <c r="H178" s="18">
        <v>2500</v>
      </c>
      <c r="I178" s="18">
        <v>3000</v>
      </c>
      <c r="J178" s="18">
        <v>3500</v>
      </c>
      <c r="K178" s="18">
        <v>4000</v>
      </c>
      <c r="L178" s="18">
        <v>4500</v>
      </c>
      <c r="M178" s="18">
        <v>5000</v>
      </c>
      <c r="N178" s="18">
        <v>5500</v>
      </c>
      <c r="O178" s="18">
        <v>6000</v>
      </c>
      <c r="P178" s="18">
        <v>6500</v>
      </c>
      <c r="Q178" s="18">
        <v>7000</v>
      </c>
      <c r="R178" s="18">
        <v>7500</v>
      </c>
      <c r="S178" s="18">
        <v>8000</v>
      </c>
      <c r="T178" s="18">
        <v>8500</v>
      </c>
      <c r="U178" s="18">
        <v>9000</v>
      </c>
      <c r="V178" s="18">
        <v>9500</v>
      </c>
      <c r="W178" s="18">
        <v>10000</v>
      </c>
      <c r="X178" s="18">
        <v>10500</v>
      </c>
      <c r="Y178" s="18"/>
      <c r="Z178" s="18"/>
      <c r="AA178" s="18"/>
      <c r="AB178" s="18"/>
      <c r="AC178" s="18"/>
      <c r="AD178" s="104"/>
      <c r="AE178" s="104"/>
      <c r="AF178" s="104"/>
      <c r="AG178" s="104"/>
      <c r="AH178" s="104"/>
      <c r="AI178" s="104"/>
      <c r="AJ178" s="104"/>
      <c r="AK178" s="105"/>
      <c r="AL178" s="106"/>
      <c r="AM178" s="107"/>
    </row>
    <row r="179" spans="1:2509" ht="15.75" customHeight="1" thickBot="1" x14ac:dyDescent="0.4">
      <c r="A179" s="314"/>
      <c r="B179" s="52" t="s">
        <v>162</v>
      </c>
      <c r="C179" s="15">
        <v>0</v>
      </c>
      <c r="D179" s="120">
        <v>11.1694</v>
      </c>
      <c r="E179" s="120">
        <v>20.726199999999999</v>
      </c>
      <c r="F179" s="120">
        <v>46.136400000000002</v>
      </c>
      <c r="G179" s="120">
        <v>67.468900000000005</v>
      </c>
      <c r="H179" s="120">
        <v>93.039400000000001</v>
      </c>
      <c r="I179" s="120">
        <v>111.958</v>
      </c>
      <c r="J179" s="120">
        <v>122.983</v>
      </c>
      <c r="K179" s="120">
        <v>129.80199999999999</v>
      </c>
      <c r="L179" s="120">
        <v>134.90600000000001</v>
      </c>
      <c r="M179" s="120">
        <v>138.73500000000001</v>
      </c>
      <c r="N179" s="120">
        <v>138.73500000000001</v>
      </c>
      <c r="O179" s="120">
        <v>138.73500000000001</v>
      </c>
      <c r="P179" s="120">
        <v>138.73500000000001</v>
      </c>
      <c r="Q179" s="120">
        <v>138.73500000000001</v>
      </c>
      <c r="R179" s="120">
        <v>138.73500000000001</v>
      </c>
      <c r="S179" s="120">
        <v>138.73500000000001</v>
      </c>
      <c r="T179" s="120">
        <v>138.73500000000001</v>
      </c>
      <c r="U179" s="120">
        <v>138.73500000000001</v>
      </c>
      <c r="V179" s="120">
        <v>138.73500000000001</v>
      </c>
      <c r="W179" s="120">
        <v>138.73500000000001</v>
      </c>
      <c r="X179" s="120">
        <v>138.73500000000001</v>
      </c>
      <c r="Y179" s="120"/>
      <c r="Z179" s="120"/>
      <c r="AA179" s="120"/>
      <c r="AB179" s="120"/>
      <c r="AC179" s="120"/>
      <c r="AD179" s="122"/>
      <c r="AE179" s="122"/>
      <c r="AF179" s="122"/>
      <c r="AG179" s="122"/>
      <c r="AH179" s="122"/>
      <c r="AI179" s="122"/>
      <c r="AJ179" s="122"/>
      <c r="AK179" s="123"/>
    </row>
    <row r="180" spans="1:2509" ht="15.75" customHeight="1" thickBot="1" x14ac:dyDescent="0.4">
      <c r="A180" s="314"/>
      <c r="B180" s="101" t="s">
        <v>163</v>
      </c>
      <c r="C180" s="117">
        <v>22000</v>
      </c>
    </row>
    <row r="181" spans="1:2509" ht="15" customHeight="1" x14ac:dyDescent="0.35">
      <c r="A181" s="314"/>
      <c r="B181" s="52" t="s">
        <v>678</v>
      </c>
      <c r="C181" s="18">
        <v>0</v>
      </c>
      <c r="D181" s="18">
        <v>1000</v>
      </c>
      <c r="E181" s="18">
        <v>2000</v>
      </c>
      <c r="F181" s="18">
        <v>3000</v>
      </c>
      <c r="G181" s="18">
        <v>4000</v>
      </c>
      <c r="H181" s="18">
        <v>5000</v>
      </c>
      <c r="I181" s="18">
        <v>6000</v>
      </c>
      <c r="J181" s="18">
        <v>7000</v>
      </c>
      <c r="K181" s="18">
        <v>8000</v>
      </c>
      <c r="L181" s="18">
        <v>9000</v>
      </c>
      <c r="M181" s="18">
        <v>10000</v>
      </c>
      <c r="N181" s="18">
        <v>11000</v>
      </c>
      <c r="O181" s="18">
        <v>12000</v>
      </c>
      <c r="P181" s="18">
        <v>13000</v>
      </c>
      <c r="Q181" s="18">
        <v>14000</v>
      </c>
      <c r="R181" s="18">
        <v>15000</v>
      </c>
      <c r="S181" s="18">
        <v>16000</v>
      </c>
      <c r="T181" s="18">
        <v>17000</v>
      </c>
      <c r="U181" s="18">
        <v>18000</v>
      </c>
      <c r="V181" s="18">
        <v>19000</v>
      </c>
      <c r="W181" s="18">
        <v>20000</v>
      </c>
      <c r="X181" s="104">
        <v>21000</v>
      </c>
      <c r="Y181" s="104">
        <v>22000</v>
      </c>
      <c r="Z181" s="104"/>
      <c r="AA181" s="104"/>
      <c r="AB181" s="104"/>
      <c r="AC181" s="104"/>
      <c r="AD181" s="104"/>
      <c r="AE181" s="104"/>
      <c r="AF181" s="104"/>
      <c r="AG181" s="104"/>
      <c r="AH181" s="104"/>
      <c r="AI181" s="104"/>
      <c r="AJ181" s="104"/>
      <c r="AK181" s="105"/>
      <c r="AL181" s="106"/>
      <c r="AM181" s="107"/>
    </row>
    <row r="182" spans="1:2509" ht="15.75" customHeight="1" thickBot="1" x14ac:dyDescent="0.4">
      <c r="A182" s="314"/>
      <c r="B182" s="52" t="s">
        <v>164</v>
      </c>
      <c r="C182" s="15">
        <v>0</v>
      </c>
      <c r="D182" s="120">
        <v>24.283000000000001</v>
      </c>
      <c r="E182" s="120">
        <v>74.183800000000005</v>
      </c>
      <c r="F182" s="120">
        <v>112.563</v>
      </c>
      <c r="G182" s="120">
        <v>141.53700000000001</v>
      </c>
      <c r="H182" s="120">
        <v>163.822</v>
      </c>
      <c r="I182" s="120">
        <v>181.81899999999999</v>
      </c>
      <c r="J182" s="120">
        <v>196.62899999999999</v>
      </c>
      <c r="K182" s="120">
        <v>208.17099999999999</v>
      </c>
      <c r="L182" s="120">
        <v>221.49</v>
      </c>
      <c r="M182" s="120">
        <v>231.626</v>
      </c>
      <c r="N182" s="120">
        <v>241.85599999999999</v>
      </c>
      <c r="O182" s="120">
        <v>246.53899999999999</v>
      </c>
      <c r="P182" s="120">
        <v>246.53899999999999</v>
      </c>
      <c r="Q182" s="120">
        <v>246.53899999999999</v>
      </c>
      <c r="R182" s="120">
        <v>246.53899999999999</v>
      </c>
      <c r="S182" s="120">
        <v>246.53899999999999</v>
      </c>
      <c r="T182" s="120">
        <v>246.53899999999999</v>
      </c>
      <c r="U182" s="120">
        <v>246.53899999999999</v>
      </c>
      <c r="V182" s="120">
        <v>246.53899999999999</v>
      </c>
      <c r="W182" s="120">
        <v>246.53899999999999</v>
      </c>
      <c r="X182" s="122">
        <v>246.53899999999999</v>
      </c>
      <c r="Y182" s="122">
        <v>246.53899999999999</v>
      </c>
      <c r="Z182" s="122"/>
      <c r="AA182" s="122"/>
      <c r="AB182" s="122"/>
      <c r="AC182" s="122"/>
      <c r="AD182" s="122"/>
      <c r="AE182" s="122"/>
      <c r="AF182" s="122"/>
      <c r="AG182" s="122"/>
      <c r="AH182" s="122"/>
      <c r="AI182" s="122"/>
      <c r="AJ182" s="122"/>
      <c r="AK182" s="123"/>
    </row>
    <row r="183" spans="1:2509" ht="15.75" customHeight="1" thickBot="1" x14ac:dyDescent="0.4">
      <c r="A183" s="314"/>
      <c r="B183" s="101" t="s">
        <v>165</v>
      </c>
      <c r="C183" s="117">
        <v>6000</v>
      </c>
    </row>
    <row r="184" spans="1:2509" ht="15" customHeight="1" x14ac:dyDescent="0.35">
      <c r="A184" s="314"/>
      <c r="B184" s="52" t="s">
        <v>679</v>
      </c>
      <c r="C184" s="18">
        <v>0</v>
      </c>
      <c r="D184" s="18">
        <v>500</v>
      </c>
      <c r="E184" s="18">
        <v>1000</v>
      </c>
      <c r="F184" s="18">
        <v>1500</v>
      </c>
      <c r="G184" s="18">
        <v>2000</v>
      </c>
      <c r="H184" s="18">
        <v>2500</v>
      </c>
      <c r="I184" s="18">
        <v>3000</v>
      </c>
      <c r="J184" s="18">
        <v>3500</v>
      </c>
      <c r="K184" s="18">
        <v>4000</v>
      </c>
      <c r="L184" s="18">
        <v>4500</v>
      </c>
      <c r="M184" s="18">
        <v>5000</v>
      </c>
      <c r="N184" s="18">
        <v>5500</v>
      </c>
      <c r="O184" s="18">
        <v>6000</v>
      </c>
      <c r="P184" s="18"/>
      <c r="Q184" s="18"/>
      <c r="R184" s="18"/>
      <c r="S184" s="18"/>
      <c r="T184" s="18"/>
      <c r="U184" s="18"/>
      <c r="V184" s="18"/>
      <c r="W184" s="104"/>
      <c r="X184" s="104"/>
      <c r="Y184" s="104"/>
      <c r="Z184" s="104"/>
      <c r="AA184" s="104"/>
      <c r="AB184" s="104"/>
      <c r="AC184" s="104"/>
      <c r="AD184" s="104"/>
      <c r="AE184" s="104"/>
      <c r="AF184" s="104"/>
      <c r="AG184" s="104"/>
      <c r="AH184" s="104"/>
      <c r="AI184" s="104"/>
      <c r="AJ184" s="104"/>
      <c r="AK184" s="105"/>
      <c r="AL184" s="106"/>
      <c r="AM184" s="107"/>
    </row>
    <row r="185" spans="1:2509" ht="15.75" customHeight="1" thickBot="1" x14ac:dyDescent="0.4">
      <c r="A185" s="314"/>
      <c r="B185" s="52" t="s">
        <v>166</v>
      </c>
      <c r="C185" s="15">
        <v>0</v>
      </c>
      <c r="D185" s="120">
        <v>43.780500000000004</v>
      </c>
      <c r="E185" s="120">
        <v>76.089699999999993</v>
      </c>
      <c r="F185" s="120">
        <v>88.841399999999993</v>
      </c>
      <c r="G185" s="120">
        <v>94.874799999999993</v>
      </c>
      <c r="H185" s="120">
        <v>97.1327</v>
      </c>
      <c r="I185" s="120">
        <v>97.1327</v>
      </c>
      <c r="J185" s="120">
        <v>97.1327</v>
      </c>
      <c r="K185" s="120">
        <v>97.1327</v>
      </c>
      <c r="L185" s="120">
        <v>97.1327</v>
      </c>
      <c r="M185" s="120">
        <v>97.1327</v>
      </c>
      <c r="N185" s="120">
        <v>97.1327</v>
      </c>
      <c r="O185" s="120">
        <v>97.1327</v>
      </c>
      <c r="P185" s="120"/>
      <c r="Q185" s="120"/>
      <c r="R185" s="120"/>
      <c r="S185" s="120"/>
      <c r="T185" s="120"/>
      <c r="U185" s="120"/>
      <c r="V185" s="120"/>
      <c r="W185" s="122"/>
      <c r="X185" s="122"/>
      <c r="Y185" s="122"/>
      <c r="Z185" s="122"/>
      <c r="AA185" s="122"/>
      <c r="AB185" s="122"/>
      <c r="AC185" s="122"/>
      <c r="AD185" s="122"/>
      <c r="AE185" s="122"/>
      <c r="AF185" s="122"/>
      <c r="AG185" s="122"/>
      <c r="AH185" s="122"/>
      <c r="AI185" s="122"/>
      <c r="AJ185" s="122"/>
      <c r="AK185" s="123"/>
    </row>
    <row r="186" spans="1:2509" ht="15.75" customHeight="1" thickBot="1" x14ac:dyDescent="0.4">
      <c r="A186" s="314"/>
      <c r="B186" s="101" t="s">
        <v>167</v>
      </c>
      <c r="C186" s="30">
        <v>16800</v>
      </c>
    </row>
    <row r="187" spans="1:2509" ht="15.75" customHeight="1" thickBot="1" x14ac:dyDescent="0.4">
      <c r="A187" s="314"/>
      <c r="B187" s="101" t="s">
        <v>168</v>
      </c>
      <c r="C187" s="124">
        <v>0.5</v>
      </c>
    </row>
    <row r="188" spans="1:2509" ht="15" customHeight="1" x14ac:dyDescent="0.35">
      <c r="A188" s="314"/>
      <c r="B188" s="52" t="s">
        <v>680</v>
      </c>
      <c r="C188" s="18">
        <v>0</v>
      </c>
      <c r="D188" s="18">
        <v>600</v>
      </c>
      <c r="E188" s="18">
        <v>1200</v>
      </c>
      <c r="F188" s="18">
        <v>1800</v>
      </c>
      <c r="G188" s="18">
        <v>2400</v>
      </c>
      <c r="H188" s="18">
        <v>3000</v>
      </c>
      <c r="I188" s="18">
        <v>3600</v>
      </c>
      <c r="J188" s="18">
        <v>4200</v>
      </c>
      <c r="K188" s="18">
        <v>4800</v>
      </c>
      <c r="L188" s="18">
        <v>5400</v>
      </c>
      <c r="M188" s="18">
        <v>6000</v>
      </c>
      <c r="N188" s="18">
        <v>6600</v>
      </c>
      <c r="O188" s="18">
        <v>7200</v>
      </c>
      <c r="P188" s="18">
        <v>7800</v>
      </c>
      <c r="Q188" s="18">
        <v>8400</v>
      </c>
      <c r="R188" s="104">
        <v>9000</v>
      </c>
      <c r="S188" s="104">
        <v>9600</v>
      </c>
      <c r="T188" s="104">
        <v>10200</v>
      </c>
      <c r="U188" s="104">
        <v>10800</v>
      </c>
      <c r="V188" s="104">
        <v>11400</v>
      </c>
      <c r="W188" s="104">
        <v>12000</v>
      </c>
      <c r="X188" s="104">
        <v>12600</v>
      </c>
      <c r="Y188" s="104">
        <v>13200</v>
      </c>
      <c r="Z188" s="104">
        <v>13800</v>
      </c>
      <c r="AA188" s="104">
        <v>14400</v>
      </c>
      <c r="AB188" s="104">
        <v>15000</v>
      </c>
      <c r="AC188" s="104">
        <v>15600</v>
      </c>
      <c r="AD188" s="104">
        <v>16200</v>
      </c>
      <c r="AE188" s="104">
        <v>16800</v>
      </c>
      <c r="AF188" s="104"/>
      <c r="AG188" s="104"/>
      <c r="AH188" s="104"/>
      <c r="AI188" s="104"/>
      <c r="AJ188" s="104"/>
      <c r="AK188" s="105"/>
    </row>
    <row r="189" spans="1:2509" ht="15.75" customHeight="1" thickBot="1" x14ac:dyDescent="0.4">
      <c r="A189" s="314"/>
      <c r="B189" s="52" t="s">
        <v>169</v>
      </c>
      <c r="C189" s="21">
        <v>0</v>
      </c>
      <c r="D189" s="110">
        <v>54.326237263000003</v>
      </c>
      <c r="E189" s="110">
        <v>77.924362752000008</v>
      </c>
      <c r="F189" s="110">
        <v>98.782756120000002</v>
      </c>
      <c r="G189" s="110">
        <v>115.24967286600001</v>
      </c>
      <c r="H189" s="110">
        <v>130.06932745699999</v>
      </c>
      <c r="I189" s="110">
        <v>140.49770916899999</v>
      </c>
      <c r="J189" s="110">
        <v>151.47538200899999</v>
      </c>
      <c r="K189" s="110">
        <v>163.45282174999997</v>
      </c>
      <c r="L189" s="110">
        <v>171</v>
      </c>
      <c r="M189" s="110">
        <v>177.46015299999999</v>
      </c>
      <c r="N189" s="110">
        <v>182.146242</v>
      </c>
      <c r="O189" s="110">
        <v>187.68642165599999</v>
      </c>
      <c r="P189" s="110">
        <v>189.07350399999999</v>
      </c>
      <c r="Q189" s="110">
        <v>189.32492286199999</v>
      </c>
      <c r="R189" s="77">
        <v>189.32492286199999</v>
      </c>
      <c r="S189" s="77">
        <v>189.32492286199999</v>
      </c>
      <c r="T189" s="77">
        <v>189.32492286199999</v>
      </c>
      <c r="U189" s="77">
        <v>189.32492286199999</v>
      </c>
      <c r="V189" s="77">
        <v>189.32492286199999</v>
      </c>
      <c r="W189" s="77">
        <v>189.32492286199999</v>
      </c>
      <c r="X189" s="77">
        <v>189.32492286199999</v>
      </c>
      <c r="Y189" s="77">
        <v>189.32492286199999</v>
      </c>
      <c r="Z189" s="77">
        <v>189.32492286199999</v>
      </c>
      <c r="AA189" s="77">
        <v>189.32492286199999</v>
      </c>
      <c r="AB189" s="77">
        <v>189.32492286199999</v>
      </c>
      <c r="AC189" s="77">
        <v>189.32492286199999</v>
      </c>
      <c r="AD189" s="77">
        <v>189.32492286199999</v>
      </c>
      <c r="AE189" s="77">
        <v>189.32492286199999</v>
      </c>
      <c r="AF189" s="77"/>
      <c r="AG189" s="77"/>
      <c r="AH189" s="77"/>
      <c r="AI189" s="77"/>
      <c r="AJ189" s="77"/>
      <c r="AK189" s="78"/>
    </row>
    <row r="190" spans="1:2509" ht="15.75" customHeight="1" thickBot="1" x14ac:dyDescent="0.4">
      <c r="A190" s="314"/>
      <c r="B190" s="52" t="s">
        <v>170</v>
      </c>
      <c r="C190" s="117">
        <v>17702.314285049993</v>
      </c>
      <c r="Y190" s="122"/>
      <c r="Z190" s="122"/>
      <c r="AA190" s="122"/>
      <c r="AB190" s="122"/>
      <c r="AC190" s="122"/>
      <c r="AD190" s="122"/>
    </row>
    <row r="191" spans="1:2509" ht="15.75" customHeight="1" x14ac:dyDescent="0.35">
      <c r="A191" s="314"/>
      <c r="B191" s="52" t="s">
        <v>681</v>
      </c>
      <c r="C191" s="237">
        <v>17702.314285049993</v>
      </c>
      <c r="D191" s="237">
        <v>8920.586336599994</v>
      </c>
      <c r="E191" s="237">
        <v>8003.9506325999919</v>
      </c>
      <c r="F191" s="237">
        <v>7117.2308255999924</v>
      </c>
      <c r="G191" s="237">
        <v>6443.1672825999922</v>
      </c>
      <c r="H191" s="237">
        <v>5808.4222385999929</v>
      </c>
      <c r="I191" s="237">
        <v>5217.2470525999943</v>
      </c>
      <c r="J191" s="237">
        <v>4542.138740599994</v>
      </c>
      <c r="K191" s="237">
        <v>3937.7824155999933</v>
      </c>
      <c r="L191" s="237">
        <v>3503.8411395999938</v>
      </c>
      <c r="M191" s="237">
        <v>3020.9141945999963</v>
      </c>
      <c r="N191" s="237">
        <v>2226.7993198499971</v>
      </c>
      <c r="O191" s="237">
        <v>1417.8908873499968</v>
      </c>
      <c r="P191" s="237">
        <v>671.23576309999771</v>
      </c>
      <c r="Q191" s="40">
        <v>0</v>
      </c>
      <c r="R191" s="125"/>
      <c r="S191" s="104"/>
      <c r="T191" s="104"/>
      <c r="U191" s="104"/>
      <c r="V191" s="104"/>
      <c r="W191" s="104"/>
      <c r="X191" s="104"/>
      <c r="Y191" s="122"/>
      <c r="Z191" s="122"/>
      <c r="AA191" s="122"/>
      <c r="AB191" s="122"/>
      <c r="AC191" s="122"/>
      <c r="AD191" s="122"/>
    </row>
    <row r="192" spans="1:2509" ht="15.75" customHeight="1" thickBot="1" x14ac:dyDescent="0.4">
      <c r="A192" s="314"/>
      <c r="B192" s="52" t="s">
        <v>171</v>
      </c>
      <c r="C192" s="237">
        <v>184.74226100000001</v>
      </c>
      <c r="D192" s="237">
        <v>184.74226100000001</v>
      </c>
      <c r="E192" s="237">
        <v>181.68775400000001</v>
      </c>
      <c r="F192" s="237">
        <v>173.88872000000001</v>
      </c>
      <c r="G192" s="237">
        <v>165.05742599999999</v>
      </c>
      <c r="H192" s="237">
        <v>154.721273</v>
      </c>
      <c r="I192" s="237">
        <v>143.574423</v>
      </c>
      <c r="J192" s="237">
        <v>129.31840199999999</v>
      </c>
      <c r="K192" s="237">
        <v>115.29678800000001</v>
      </c>
      <c r="L192" s="237">
        <v>104.444245</v>
      </c>
      <c r="M192" s="237">
        <v>91.434567099999995</v>
      </c>
      <c r="N192" s="237">
        <v>67.872175600000006</v>
      </c>
      <c r="O192" s="237">
        <v>41.861978800000003</v>
      </c>
      <c r="P192" s="237">
        <v>20.827786799999998</v>
      </c>
      <c r="Q192" s="126">
        <v>0</v>
      </c>
      <c r="R192" s="127"/>
      <c r="S192" s="77"/>
      <c r="T192" s="77"/>
      <c r="U192" s="77"/>
      <c r="V192" s="77"/>
      <c r="W192" s="77"/>
      <c r="X192" s="77"/>
      <c r="Y192" s="122"/>
      <c r="Z192" s="122"/>
      <c r="AA192" s="122"/>
      <c r="AB192" s="122"/>
      <c r="AC192" s="122"/>
      <c r="AD192" s="122"/>
    </row>
    <row r="193" spans="1:39" ht="15.75" customHeight="1" x14ac:dyDescent="0.35">
      <c r="A193" s="314"/>
      <c r="B193" s="52" t="s">
        <v>172</v>
      </c>
      <c r="C193" s="112">
        <v>2782.2663366200004</v>
      </c>
      <c r="Y193" s="122"/>
      <c r="Z193" s="122"/>
      <c r="AA193" s="122"/>
      <c r="AB193" s="122"/>
      <c r="AC193" s="122"/>
      <c r="AD193" s="122"/>
    </row>
    <row r="194" spans="1:39" ht="15.75" customHeight="1" x14ac:dyDescent="0.35">
      <c r="A194" s="314"/>
      <c r="B194" s="52" t="s">
        <v>682</v>
      </c>
      <c r="C194" s="128">
        <v>2782.2663366200004</v>
      </c>
      <c r="D194" s="128">
        <v>1640.1165615000002</v>
      </c>
      <c r="E194" s="128">
        <v>1477.7713582500003</v>
      </c>
      <c r="F194" s="128">
        <v>1318.2304387500003</v>
      </c>
      <c r="G194" s="128">
        <v>1165.2416025000002</v>
      </c>
      <c r="H194" s="128">
        <v>1021.5323782500002</v>
      </c>
      <c r="I194" s="128">
        <v>888.81577850000031</v>
      </c>
      <c r="J194" s="128">
        <v>767.9609417500003</v>
      </c>
      <c r="K194" s="128">
        <v>659.2142952500003</v>
      </c>
      <c r="L194" s="128">
        <v>476.74107925000044</v>
      </c>
      <c r="M194" s="128">
        <v>337.1881147500003</v>
      </c>
      <c r="N194" s="128">
        <v>234.0398723000003</v>
      </c>
      <c r="O194" s="128">
        <v>160.02384350000011</v>
      </c>
      <c r="P194" s="128">
        <v>108.17841249999992</v>
      </c>
      <c r="Q194" s="128">
        <v>48.336318599999686</v>
      </c>
      <c r="R194" s="128">
        <v>0</v>
      </c>
      <c r="S194" s="128"/>
      <c r="T194" s="25"/>
      <c r="U194" s="25"/>
      <c r="V194" s="25"/>
      <c r="W194" s="25"/>
      <c r="X194" s="25"/>
      <c r="Y194" s="122"/>
      <c r="Z194" s="122"/>
      <c r="AA194" s="122"/>
      <c r="AB194" s="122"/>
      <c r="AC194" s="122"/>
      <c r="AD194" s="122"/>
    </row>
    <row r="195" spans="1:39" ht="15.75" customHeight="1" thickBot="1" x14ac:dyDescent="0.4">
      <c r="A195" s="314"/>
      <c r="B195" s="52" t="s">
        <v>173</v>
      </c>
      <c r="C195" s="37">
        <v>32.537922000000002</v>
      </c>
      <c r="D195" s="126">
        <v>32.537922000000002</v>
      </c>
      <c r="E195" s="126">
        <v>32.400159299999999</v>
      </c>
      <c r="F195" s="126">
        <v>31.4162085</v>
      </c>
      <c r="G195" s="126">
        <v>29.779326000000001</v>
      </c>
      <c r="H195" s="126">
        <v>27.704363699999998</v>
      </c>
      <c r="I195" s="126">
        <v>25.3822762</v>
      </c>
      <c r="J195" s="126">
        <v>22.9596585</v>
      </c>
      <c r="K195" s="126">
        <v>20.539000099999999</v>
      </c>
      <c r="L195" s="126">
        <v>15.9556431</v>
      </c>
      <c r="M195" s="126">
        <v>11.9549498</v>
      </c>
      <c r="N195" s="126">
        <v>8.6746986899999996</v>
      </c>
      <c r="O195" s="126">
        <v>6.1285070700000004</v>
      </c>
      <c r="P195" s="126">
        <v>4.2405791300000004</v>
      </c>
      <c r="Q195" s="126">
        <v>1.9482859299999999</v>
      </c>
      <c r="R195" s="126">
        <v>0</v>
      </c>
      <c r="S195" s="126"/>
      <c r="T195" s="110"/>
      <c r="U195" s="110"/>
      <c r="V195" s="110"/>
      <c r="W195" s="110"/>
      <c r="X195" s="110"/>
      <c r="Y195" s="122"/>
      <c r="Z195" s="122"/>
      <c r="AA195" s="122"/>
      <c r="AB195" s="122"/>
      <c r="AC195" s="122"/>
      <c r="AD195" s="122"/>
    </row>
    <row r="196" spans="1:39" ht="15.75" customHeight="1" x14ac:dyDescent="0.35">
      <c r="A196" s="314"/>
      <c r="B196" s="52" t="s">
        <v>174</v>
      </c>
      <c r="C196" s="102">
        <v>20484.58063149999</v>
      </c>
      <c r="D196" s="102"/>
      <c r="E196" s="102"/>
      <c r="F196" s="102"/>
      <c r="G196" s="102"/>
      <c r="H196" s="102"/>
      <c r="I196" s="102"/>
      <c r="J196" s="102"/>
      <c r="K196" s="102"/>
      <c r="L196" s="102"/>
      <c r="M196" s="102"/>
      <c r="N196" s="102"/>
      <c r="O196" s="102"/>
      <c r="P196" s="102"/>
      <c r="Q196" s="102"/>
      <c r="R196" s="102"/>
      <c r="S196" s="102"/>
      <c r="T196" s="102"/>
      <c r="U196" s="102"/>
      <c r="Y196" s="122"/>
      <c r="Z196" s="122"/>
      <c r="AA196" s="122"/>
      <c r="AB196" s="122"/>
      <c r="AC196" s="122"/>
      <c r="AD196" s="122"/>
    </row>
    <row r="197" spans="1:39" ht="15.75" customHeight="1" thickBot="1" x14ac:dyDescent="0.4">
      <c r="A197" s="314"/>
      <c r="B197" s="52" t="s">
        <v>175</v>
      </c>
      <c r="C197" s="108">
        <v>0.19</v>
      </c>
      <c r="D197" s="108"/>
      <c r="E197" s="108"/>
      <c r="F197" s="108"/>
      <c r="G197" s="108"/>
      <c r="H197" s="108"/>
      <c r="I197" s="108"/>
      <c r="J197" s="108"/>
      <c r="K197" s="108"/>
      <c r="L197" s="108"/>
      <c r="M197" s="108"/>
      <c r="N197" s="108"/>
      <c r="O197" s="108"/>
      <c r="P197" s="108"/>
      <c r="Q197" s="108"/>
      <c r="R197" s="108"/>
      <c r="S197" s="108"/>
      <c r="T197" s="108"/>
      <c r="U197" s="108"/>
      <c r="Y197" s="122"/>
      <c r="Z197" s="122"/>
      <c r="AA197" s="122"/>
      <c r="AB197" s="122"/>
      <c r="AC197" s="122"/>
      <c r="AD197" s="122"/>
    </row>
    <row r="198" spans="1:39" ht="15.75" customHeight="1" x14ac:dyDescent="0.35">
      <c r="A198" s="314"/>
      <c r="B198" s="52" t="s">
        <v>683</v>
      </c>
      <c r="C198" s="102">
        <v>20484.58063149999</v>
      </c>
      <c r="D198" s="102">
        <v>11192.385320349988</v>
      </c>
      <c r="E198" s="102">
        <v>10037.187446349988</v>
      </c>
      <c r="F198" s="102">
        <v>9105.1612993499857</v>
      </c>
      <c r="G198" s="102">
        <v>8390.4330803499852</v>
      </c>
      <c r="H198" s="102">
        <v>7708.0432853499842</v>
      </c>
      <c r="I198" s="102">
        <v>6903.6208413499844</v>
      </c>
      <c r="J198" s="102">
        <v>6299.6779083499841</v>
      </c>
      <c r="K198" s="102">
        <v>5731.0398043499845</v>
      </c>
      <c r="L198" s="102">
        <v>5197.9194453499858</v>
      </c>
      <c r="M198" s="102">
        <v>4234.5203303499875</v>
      </c>
      <c r="N198" s="102">
        <v>3230.8575058499882</v>
      </c>
      <c r="O198" s="102">
        <v>2439.4232650999875</v>
      </c>
      <c r="P198" s="102">
        <v>1823.9886260999883</v>
      </c>
      <c r="Q198" s="102">
        <v>1147.9768418499916</v>
      </c>
      <c r="R198" s="102">
        <v>581.07958234999387</v>
      </c>
      <c r="S198" s="102">
        <v>0</v>
      </c>
      <c r="T198" s="102"/>
      <c r="U198" s="102"/>
      <c r="V198" s="104"/>
      <c r="W198" s="104"/>
      <c r="X198" s="104"/>
      <c r="Y198" s="122"/>
      <c r="Z198" s="122"/>
      <c r="AA198" s="122"/>
      <c r="AB198" s="122"/>
      <c r="AC198" s="122"/>
      <c r="AD198" s="122"/>
    </row>
    <row r="199" spans="1:39" ht="15.75" customHeight="1" thickBot="1" x14ac:dyDescent="0.4">
      <c r="A199" s="314"/>
      <c r="B199" s="52" t="s">
        <v>176</v>
      </c>
      <c r="C199" s="108">
        <v>194.17743200000001</v>
      </c>
      <c r="D199" s="108">
        <v>194.17743200000001</v>
      </c>
      <c r="E199" s="108">
        <v>190.48281499999999</v>
      </c>
      <c r="F199" s="108">
        <v>183.28409300000001</v>
      </c>
      <c r="G199" s="108">
        <v>175.77674200000001</v>
      </c>
      <c r="H199" s="108">
        <v>167.418541</v>
      </c>
      <c r="I199" s="108">
        <v>156.49563800000001</v>
      </c>
      <c r="J199" s="108">
        <v>147.67860899999999</v>
      </c>
      <c r="K199" s="108">
        <v>138.842975</v>
      </c>
      <c r="L199" s="108">
        <v>129.92766800000001</v>
      </c>
      <c r="M199" s="108">
        <v>111.707526</v>
      </c>
      <c r="N199" s="108">
        <v>89.212933800000002</v>
      </c>
      <c r="O199" s="108">
        <v>69.566342500000005</v>
      </c>
      <c r="P199" s="108">
        <v>54.019153699999997</v>
      </c>
      <c r="Q199" s="108">
        <v>36.783429900000002</v>
      </c>
      <c r="R199" s="108">
        <v>20.707368200000001</v>
      </c>
      <c r="S199" s="108">
        <v>0</v>
      </c>
      <c r="T199" s="108"/>
      <c r="U199" s="108"/>
      <c r="V199" s="77"/>
      <c r="W199" s="77"/>
      <c r="X199" s="77"/>
      <c r="Y199" s="122"/>
      <c r="Z199" s="122"/>
      <c r="AA199" s="122"/>
      <c r="AB199" s="122"/>
      <c r="AC199" s="122"/>
      <c r="AD199" s="122"/>
    </row>
    <row r="200" spans="1:39" ht="15.75" customHeight="1" thickBot="1" x14ac:dyDescent="0.4">
      <c r="A200" s="12"/>
      <c r="B200" s="98"/>
      <c r="C200" s="100"/>
      <c r="D200" s="100"/>
      <c r="E200" s="27"/>
      <c r="F200" s="27"/>
      <c r="G200" s="27"/>
      <c r="H200" s="27"/>
      <c r="I200" s="27"/>
      <c r="J200" s="27"/>
      <c r="K200" s="27"/>
      <c r="L200" s="27"/>
      <c r="M200" s="27"/>
      <c r="N200" s="27"/>
      <c r="O200" s="27"/>
      <c r="P200" s="27"/>
      <c r="Q200" s="27"/>
      <c r="R200" s="27"/>
      <c r="S200" s="27"/>
      <c r="T200" s="27"/>
      <c r="U200" s="27"/>
      <c r="V200" s="27"/>
      <c r="W200" s="27"/>
      <c r="X200" s="27"/>
      <c r="Y200" s="27"/>
      <c r="Z200" s="27"/>
      <c r="AA200" s="27"/>
      <c r="AB200" s="27"/>
      <c r="AC200" s="27"/>
      <c r="AD200" s="27"/>
    </row>
    <row r="201" spans="1:39" ht="15" thickBot="1" x14ac:dyDescent="0.4">
      <c r="A201" s="306" t="s">
        <v>177</v>
      </c>
      <c r="B201" s="101" t="s">
        <v>178</v>
      </c>
      <c r="C201" s="117">
        <v>11000</v>
      </c>
    </row>
    <row r="202" spans="1:39" x14ac:dyDescent="0.35">
      <c r="A202" s="307"/>
      <c r="B202" s="52" t="s">
        <v>684</v>
      </c>
      <c r="C202" s="18">
        <v>0</v>
      </c>
      <c r="D202" s="18">
        <v>1100</v>
      </c>
      <c r="E202" s="18">
        <v>2200</v>
      </c>
      <c r="F202" s="18">
        <v>3300</v>
      </c>
      <c r="G202" s="18">
        <v>4400</v>
      </c>
      <c r="H202" s="18">
        <v>5500</v>
      </c>
      <c r="I202" s="18">
        <v>6600</v>
      </c>
      <c r="J202" s="18">
        <v>7700</v>
      </c>
      <c r="K202" s="18">
        <v>8800</v>
      </c>
      <c r="L202" s="18">
        <v>9900</v>
      </c>
      <c r="M202" s="18">
        <v>11000</v>
      </c>
      <c r="N202" s="18"/>
      <c r="O202" s="18"/>
      <c r="P202" s="18"/>
      <c r="Q202" s="18"/>
      <c r="R202" s="104"/>
      <c r="S202" s="104"/>
      <c r="T202" s="104"/>
      <c r="U202" s="104"/>
      <c r="V202" s="104"/>
      <c r="W202" s="104"/>
      <c r="X202" s="104"/>
      <c r="Y202" s="104"/>
      <c r="Z202" s="104"/>
      <c r="AA202" s="104"/>
      <c r="AB202" s="104"/>
      <c r="AC202" s="104"/>
      <c r="AD202" s="104"/>
      <c r="AE202" s="104"/>
      <c r="AF202" s="104"/>
      <c r="AG202" s="104"/>
      <c r="AH202" s="104"/>
      <c r="AI202" s="104"/>
      <c r="AJ202" s="104"/>
      <c r="AK202" s="105"/>
      <c r="AL202" s="106"/>
      <c r="AM202" s="107"/>
    </row>
    <row r="203" spans="1:39" ht="15" thickBot="1" x14ac:dyDescent="0.4">
      <c r="A203" s="307"/>
      <c r="B203" s="52" t="s">
        <v>179</v>
      </c>
      <c r="C203" s="21">
        <v>0</v>
      </c>
      <c r="D203" s="110">
        <v>49.951631710310799</v>
      </c>
      <c r="E203" s="110">
        <v>93.225415807183296</v>
      </c>
      <c r="F203" s="110">
        <v>118.25322742687901</v>
      </c>
      <c r="G203" s="110">
        <v>122.34766617760398</v>
      </c>
      <c r="H203" s="110">
        <v>124.03503097023999</v>
      </c>
      <c r="I203" s="110">
        <v>124.03503097023999</v>
      </c>
      <c r="J203" s="110">
        <v>124.03503097023999</v>
      </c>
      <c r="K203" s="110">
        <v>124.03503097023999</v>
      </c>
      <c r="L203" s="110">
        <v>124.03503097023999</v>
      </c>
      <c r="M203" s="110">
        <v>124.03503097023999</v>
      </c>
      <c r="N203" s="110"/>
      <c r="O203" s="110"/>
      <c r="P203" s="110"/>
      <c r="Q203" s="110"/>
      <c r="R203" s="77"/>
      <c r="S203" s="77"/>
      <c r="T203" s="77"/>
      <c r="U203" s="77"/>
      <c r="V203" s="77"/>
      <c r="W203" s="77"/>
      <c r="X203" s="77"/>
      <c r="Y203" s="77"/>
      <c r="Z203" s="77"/>
      <c r="AA203" s="77"/>
      <c r="AB203" s="77"/>
      <c r="AC203" s="77"/>
      <c r="AD203" s="77"/>
      <c r="AE203" s="77"/>
      <c r="AF203" s="77"/>
      <c r="AG203" s="77"/>
      <c r="AH203" s="77"/>
      <c r="AI203" s="77"/>
      <c r="AJ203" s="77"/>
      <c r="AK203" s="78"/>
    </row>
    <row r="204" spans="1:39" ht="15" thickBot="1" x14ac:dyDescent="0.4">
      <c r="A204" s="307"/>
      <c r="B204" s="101" t="s">
        <v>180</v>
      </c>
      <c r="C204" s="117">
        <v>22500</v>
      </c>
    </row>
    <row r="205" spans="1:39" x14ac:dyDescent="0.35">
      <c r="A205" s="307"/>
      <c r="B205" s="52" t="s">
        <v>685</v>
      </c>
      <c r="C205" s="18">
        <v>0</v>
      </c>
      <c r="D205" s="18">
        <v>1500</v>
      </c>
      <c r="E205" s="18">
        <v>3000</v>
      </c>
      <c r="F205" s="18">
        <v>4500</v>
      </c>
      <c r="G205" s="18">
        <v>6000</v>
      </c>
      <c r="H205" s="18">
        <v>7500</v>
      </c>
      <c r="I205" s="18">
        <v>9000</v>
      </c>
      <c r="J205" s="18">
        <v>10500</v>
      </c>
      <c r="K205" s="18">
        <v>12000</v>
      </c>
      <c r="L205" s="18">
        <v>13500</v>
      </c>
      <c r="M205" s="18">
        <v>15000</v>
      </c>
      <c r="N205" s="18">
        <v>16500</v>
      </c>
      <c r="O205" s="18">
        <v>18000</v>
      </c>
      <c r="P205" s="18">
        <v>19500</v>
      </c>
      <c r="Q205" s="18">
        <v>21000</v>
      </c>
      <c r="R205" s="104">
        <v>22500</v>
      </c>
      <c r="S205" s="104"/>
      <c r="T205" s="104"/>
      <c r="U205" s="104"/>
      <c r="V205" s="104"/>
      <c r="W205" s="104"/>
      <c r="X205" s="104"/>
      <c r="Y205" s="104"/>
      <c r="Z205" s="104"/>
      <c r="AA205" s="104"/>
      <c r="AB205" s="104"/>
      <c r="AC205" s="104"/>
      <c r="AD205" s="104"/>
      <c r="AE205" s="104"/>
      <c r="AF205" s="104"/>
      <c r="AG205" s="104"/>
      <c r="AH205" s="104"/>
      <c r="AI205" s="104"/>
      <c r="AJ205" s="104"/>
      <c r="AK205" s="105"/>
      <c r="AL205" s="106"/>
      <c r="AM205" s="107"/>
    </row>
    <row r="206" spans="1:39" ht="15" thickBot="1" x14ac:dyDescent="0.4">
      <c r="A206" s="307"/>
      <c r="B206" s="52" t="s">
        <v>181</v>
      </c>
      <c r="C206" s="21">
        <v>0</v>
      </c>
      <c r="D206" s="110">
        <v>85.11063547168709</v>
      </c>
      <c r="E206" s="110">
        <v>136.89372935090191</v>
      </c>
      <c r="F206" s="110">
        <v>179.49384955001821</v>
      </c>
      <c r="G206" s="110">
        <v>203.86285809423433</v>
      </c>
      <c r="H206" s="110">
        <v>216.27987364278962</v>
      </c>
      <c r="I206" s="110">
        <v>218.76844181844524</v>
      </c>
      <c r="J206" s="110">
        <v>218.76844181844524</v>
      </c>
      <c r="K206" s="110">
        <v>218.76844181844524</v>
      </c>
      <c r="L206" s="110">
        <v>218.76844181844524</v>
      </c>
      <c r="M206" s="110">
        <v>218.76844181844524</v>
      </c>
      <c r="N206" s="110">
        <v>218.76844181844524</v>
      </c>
      <c r="O206" s="110">
        <v>218.76844181844524</v>
      </c>
      <c r="P206" s="110">
        <v>218.76844181844524</v>
      </c>
      <c r="Q206" s="110">
        <v>218.76844181844524</v>
      </c>
      <c r="R206" s="77">
        <v>218.76844181844524</v>
      </c>
      <c r="S206" s="77"/>
      <c r="T206" s="77"/>
      <c r="U206" s="77"/>
      <c r="V206" s="77"/>
      <c r="W206" s="77"/>
      <c r="X206" s="77"/>
      <c r="Y206" s="77"/>
      <c r="Z206" s="77"/>
      <c r="AA206" s="77"/>
      <c r="AB206" s="77"/>
      <c r="AC206" s="77"/>
      <c r="AD206" s="77"/>
      <c r="AE206" s="77"/>
      <c r="AF206" s="77"/>
      <c r="AG206" s="77"/>
      <c r="AH206" s="77"/>
      <c r="AI206" s="77"/>
      <c r="AJ206" s="77"/>
      <c r="AK206" s="78"/>
    </row>
    <row r="207" spans="1:39" ht="15" thickBot="1" x14ac:dyDescent="0.4">
      <c r="A207" s="307"/>
      <c r="B207" s="101" t="s">
        <v>182</v>
      </c>
      <c r="C207" s="117">
        <v>13200</v>
      </c>
    </row>
    <row r="208" spans="1:39" x14ac:dyDescent="0.35">
      <c r="A208" s="307"/>
      <c r="B208" s="52" t="s">
        <v>686</v>
      </c>
      <c r="C208" s="18">
        <v>0</v>
      </c>
      <c r="D208" s="18">
        <v>1200</v>
      </c>
      <c r="E208" s="18">
        <v>2400</v>
      </c>
      <c r="F208" s="18">
        <v>3600</v>
      </c>
      <c r="G208" s="18">
        <v>4800</v>
      </c>
      <c r="H208" s="18">
        <v>6000</v>
      </c>
      <c r="I208" s="18">
        <v>7200</v>
      </c>
      <c r="J208" s="18">
        <v>8400</v>
      </c>
      <c r="K208" s="18">
        <v>9600</v>
      </c>
      <c r="L208" s="18">
        <v>10800</v>
      </c>
      <c r="M208" s="18">
        <v>12000</v>
      </c>
      <c r="N208" s="18">
        <v>13200</v>
      </c>
      <c r="O208" s="18"/>
      <c r="P208" s="18"/>
      <c r="Q208" s="18"/>
      <c r="R208" s="104"/>
      <c r="S208" s="104"/>
      <c r="T208" s="104"/>
      <c r="U208" s="104"/>
      <c r="V208" s="104"/>
      <c r="W208" s="104"/>
      <c r="X208" s="104"/>
      <c r="Y208" s="104"/>
      <c r="Z208" s="104"/>
      <c r="AA208" s="104"/>
      <c r="AB208" s="104"/>
      <c r="AC208" s="104"/>
      <c r="AD208" s="104"/>
      <c r="AE208" s="104"/>
      <c r="AF208" s="104"/>
      <c r="AG208" s="104"/>
      <c r="AH208" s="104"/>
      <c r="AI208" s="104"/>
      <c r="AJ208" s="104"/>
      <c r="AK208" s="105"/>
      <c r="AL208" s="106"/>
      <c r="AM208" s="107"/>
    </row>
    <row r="209" spans="1:2509" ht="15" thickBot="1" x14ac:dyDescent="0.4">
      <c r="A209" s="307"/>
      <c r="B209" s="52" t="s">
        <v>183</v>
      </c>
      <c r="C209" s="21">
        <v>0</v>
      </c>
      <c r="D209" s="110">
        <v>53.710500000000003</v>
      </c>
      <c r="E209" s="110">
        <v>94.148799999999994</v>
      </c>
      <c r="F209" s="110">
        <v>124.386</v>
      </c>
      <c r="G209" s="110">
        <v>132.465</v>
      </c>
      <c r="H209" s="110">
        <v>134.77000000000001</v>
      </c>
      <c r="I209" s="110">
        <v>134.77000000000001</v>
      </c>
      <c r="J209" s="110">
        <v>134.77000000000001</v>
      </c>
      <c r="K209" s="110">
        <v>134.77000000000001</v>
      </c>
      <c r="L209" s="110">
        <v>134.77000000000001</v>
      </c>
      <c r="M209" s="110">
        <v>134.77000000000001</v>
      </c>
      <c r="N209" s="110">
        <v>134.77000000000001</v>
      </c>
      <c r="O209" s="110"/>
      <c r="P209" s="110"/>
      <c r="Q209" s="110"/>
      <c r="R209" s="77"/>
      <c r="S209" s="77"/>
      <c r="T209" s="77"/>
      <c r="U209" s="77"/>
      <c r="V209" s="77"/>
      <c r="W209" s="77"/>
      <c r="X209" s="77"/>
      <c r="Y209" s="77"/>
      <c r="Z209" s="77"/>
      <c r="AA209" s="77"/>
      <c r="AB209" s="77"/>
      <c r="AC209" s="77"/>
      <c r="AD209" s="77"/>
      <c r="AE209" s="77"/>
      <c r="AF209" s="77"/>
      <c r="AG209" s="77"/>
      <c r="AH209" s="77"/>
      <c r="AI209" s="77"/>
      <c r="AJ209" s="77"/>
      <c r="AK209" s="78"/>
    </row>
    <row r="210" spans="1:2509" ht="15" thickBot="1" x14ac:dyDescent="0.4">
      <c r="A210" s="307"/>
      <c r="B210" s="101" t="s">
        <v>184</v>
      </c>
      <c r="C210" s="117">
        <v>14500</v>
      </c>
    </row>
    <row r="211" spans="1:2509" x14ac:dyDescent="0.35">
      <c r="A211" s="307"/>
      <c r="B211" s="52" t="s">
        <v>687</v>
      </c>
      <c r="C211" s="18">
        <v>0</v>
      </c>
      <c r="D211" s="18">
        <v>500</v>
      </c>
      <c r="E211" s="18">
        <v>1000</v>
      </c>
      <c r="F211" s="18">
        <v>1500</v>
      </c>
      <c r="G211" s="18">
        <v>2000</v>
      </c>
      <c r="H211" s="18">
        <v>2500</v>
      </c>
      <c r="I211" s="18">
        <v>3000</v>
      </c>
      <c r="J211" s="18">
        <v>3500</v>
      </c>
      <c r="K211" s="18">
        <v>4000</v>
      </c>
      <c r="L211" s="18">
        <v>4500</v>
      </c>
      <c r="M211" s="18">
        <v>5000</v>
      </c>
      <c r="N211" s="18">
        <v>5500</v>
      </c>
      <c r="O211" s="18">
        <v>6000</v>
      </c>
      <c r="P211" s="18">
        <v>6500</v>
      </c>
      <c r="Q211" s="18">
        <v>7000</v>
      </c>
      <c r="R211" s="104">
        <v>7500</v>
      </c>
      <c r="S211" s="104">
        <v>8000</v>
      </c>
      <c r="T211" s="104">
        <v>8500</v>
      </c>
      <c r="U211" s="104">
        <v>9000</v>
      </c>
      <c r="V211" s="104">
        <v>9500</v>
      </c>
      <c r="W211" s="104">
        <v>10000</v>
      </c>
      <c r="X211" s="104">
        <v>10500</v>
      </c>
      <c r="Y211" s="104">
        <v>11000</v>
      </c>
      <c r="Z211" s="104">
        <v>11500</v>
      </c>
      <c r="AA211" s="104">
        <v>12000</v>
      </c>
      <c r="AB211" s="104">
        <v>12500</v>
      </c>
      <c r="AC211" s="104">
        <v>13000</v>
      </c>
      <c r="AD211" s="104">
        <v>13500</v>
      </c>
      <c r="AE211" s="104">
        <v>14000</v>
      </c>
      <c r="AF211" s="104">
        <v>14500</v>
      </c>
      <c r="AG211" s="104"/>
      <c r="AH211" s="104"/>
      <c r="AI211" s="104"/>
      <c r="AJ211" s="104"/>
      <c r="AK211" s="105"/>
      <c r="AL211" s="106"/>
      <c r="AM211" s="107"/>
    </row>
    <row r="212" spans="1:2509" ht="15" thickBot="1" x14ac:dyDescent="0.4">
      <c r="A212" s="307"/>
      <c r="B212" s="52" t="s">
        <v>185</v>
      </c>
      <c r="C212" s="21">
        <v>0</v>
      </c>
      <c r="D212" s="110">
        <v>36.280999999999999</v>
      </c>
      <c r="E212" s="110">
        <v>59.248199999999997</v>
      </c>
      <c r="F212" s="110">
        <v>79.715599999999995</v>
      </c>
      <c r="G212" s="110">
        <v>92.656199999999998</v>
      </c>
      <c r="H212" s="110">
        <v>104.84</v>
      </c>
      <c r="I212" s="110">
        <v>114.916</v>
      </c>
      <c r="J212" s="110">
        <v>121.97</v>
      </c>
      <c r="K212" s="110">
        <v>128.03700000000001</v>
      </c>
      <c r="L212" s="110">
        <v>132.221</v>
      </c>
      <c r="M212" s="110">
        <v>134.51900000000001</v>
      </c>
      <c r="N212" s="110">
        <v>134.97399999999999</v>
      </c>
      <c r="O212" s="110">
        <v>134.97399999999999</v>
      </c>
      <c r="P212" s="110">
        <v>134.97399999999999</v>
      </c>
      <c r="Q212" s="110">
        <v>134.97399999999999</v>
      </c>
      <c r="R212" s="77">
        <v>134.97399999999999</v>
      </c>
      <c r="S212" s="77">
        <v>134.97399999999999</v>
      </c>
      <c r="T212" s="77">
        <v>134.97399999999999</v>
      </c>
      <c r="U212" s="77">
        <v>134.97399999999999</v>
      </c>
      <c r="V212" s="77">
        <v>134.97399999999999</v>
      </c>
      <c r="W212" s="77">
        <v>134.97399999999999</v>
      </c>
      <c r="X212" s="77">
        <v>134.97399999999999</v>
      </c>
      <c r="Y212" s="77">
        <v>134.97399999999999</v>
      </c>
      <c r="Z212" s="77">
        <v>134.97399999999999</v>
      </c>
      <c r="AA212" s="77">
        <v>134.97399999999999</v>
      </c>
      <c r="AB212" s="77">
        <v>134.97399999999999</v>
      </c>
      <c r="AC212" s="77">
        <v>134.97399999999999</v>
      </c>
      <c r="AD212" s="77">
        <v>134.97399999999999</v>
      </c>
      <c r="AE212" s="77">
        <v>134.97399999999999</v>
      </c>
      <c r="AF212" s="77">
        <v>134.97399999999999</v>
      </c>
      <c r="AG212" s="77"/>
      <c r="AH212" s="77"/>
      <c r="AI212" s="77"/>
      <c r="AJ212" s="77"/>
      <c r="AK212" s="78"/>
    </row>
    <row r="213" spans="1:2509" ht="15" thickBot="1" x14ac:dyDescent="0.4">
      <c r="A213" s="307"/>
      <c r="B213" s="101" t="s">
        <v>186</v>
      </c>
      <c r="C213" s="117">
        <v>24000</v>
      </c>
    </row>
    <row r="214" spans="1:2509" s="12" customFormat="1" x14ac:dyDescent="0.35">
      <c r="A214" s="307"/>
      <c r="B214" s="52" t="s">
        <v>688</v>
      </c>
      <c r="C214" s="18">
        <v>0</v>
      </c>
      <c r="D214" s="18">
        <v>1500</v>
      </c>
      <c r="E214" s="18">
        <v>3000</v>
      </c>
      <c r="F214" s="18">
        <v>4500</v>
      </c>
      <c r="G214" s="18">
        <v>6000</v>
      </c>
      <c r="H214" s="18">
        <v>7500</v>
      </c>
      <c r="I214" s="18">
        <v>9000</v>
      </c>
      <c r="J214" s="18">
        <v>10500</v>
      </c>
      <c r="K214" s="18">
        <v>12000</v>
      </c>
      <c r="L214" s="18">
        <v>13500</v>
      </c>
      <c r="M214" s="18">
        <v>15000</v>
      </c>
      <c r="N214" s="18">
        <v>16500</v>
      </c>
      <c r="O214" s="18">
        <v>18000</v>
      </c>
      <c r="P214" s="18">
        <v>19500</v>
      </c>
      <c r="Q214" s="18">
        <v>21000</v>
      </c>
      <c r="R214" s="104">
        <v>22500</v>
      </c>
      <c r="S214" s="104">
        <v>24000</v>
      </c>
      <c r="T214" s="104"/>
      <c r="U214" s="104"/>
      <c r="V214" s="104"/>
      <c r="W214" s="104"/>
      <c r="X214" s="104"/>
      <c r="Y214" s="104"/>
      <c r="Z214" s="104"/>
      <c r="AA214" s="104"/>
      <c r="AB214" s="104"/>
      <c r="AC214" s="104"/>
      <c r="AD214" s="104"/>
      <c r="AE214" s="104"/>
      <c r="AF214" s="104"/>
      <c r="AG214" s="104"/>
      <c r="AH214" s="104"/>
      <c r="AI214" s="104"/>
      <c r="AJ214" s="104"/>
      <c r="AK214" s="105"/>
      <c r="AL214" s="106"/>
      <c r="AM214" s="107"/>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c r="LQ214"/>
      <c r="LR214"/>
      <c r="LS214"/>
      <c r="LT214"/>
      <c r="LU214"/>
      <c r="LV214"/>
      <c r="LW214"/>
      <c r="LX214"/>
      <c r="LY214"/>
      <c r="LZ214"/>
      <c r="MA214"/>
      <c r="MB214"/>
      <c r="MC214"/>
      <c r="MD214"/>
      <c r="ME214"/>
      <c r="MF214"/>
      <c r="MG214"/>
      <c r="MH214"/>
      <c r="MI214"/>
      <c r="MJ214"/>
      <c r="MK214"/>
      <c r="ML214"/>
      <c r="MM214"/>
      <c r="MN214"/>
      <c r="MO214"/>
      <c r="MP214"/>
      <c r="MQ214"/>
      <c r="MR214"/>
      <c r="MS214"/>
      <c r="MT214"/>
      <c r="MU214"/>
      <c r="MV214"/>
      <c r="MW214"/>
      <c r="MX214"/>
      <c r="MY214"/>
      <c r="MZ214"/>
      <c r="NA214"/>
      <c r="NB214"/>
      <c r="NC214"/>
      <c r="ND214"/>
      <c r="NE214"/>
      <c r="NF214"/>
      <c r="NG214"/>
      <c r="NH214"/>
      <c r="NI214"/>
      <c r="NJ214"/>
      <c r="NK214"/>
      <c r="NL214"/>
      <c r="NM214"/>
      <c r="NN214"/>
      <c r="NO214"/>
      <c r="NP214"/>
      <c r="NQ214"/>
      <c r="NR214"/>
      <c r="NS214"/>
      <c r="NT214"/>
      <c r="NU214"/>
      <c r="NV214"/>
      <c r="NW214"/>
      <c r="NX214"/>
      <c r="NY214"/>
      <c r="NZ214"/>
      <c r="OA214"/>
      <c r="OB214"/>
      <c r="OC214"/>
      <c r="OD214"/>
      <c r="OE214"/>
      <c r="OF214"/>
      <c r="OG214"/>
      <c r="OH214"/>
      <c r="OI214"/>
      <c r="OJ214"/>
      <c r="OK214"/>
      <c r="OL214"/>
      <c r="OM214"/>
      <c r="ON214"/>
      <c r="OO214"/>
      <c r="OP214"/>
      <c r="OQ214"/>
      <c r="OR214"/>
      <c r="OS214"/>
      <c r="OT214"/>
      <c r="OU214"/>
      <c r="OV214"/>
      <c r="OW214"/>
      <c r="OX214"/>
      <c r="OY214"/>
      <c r="OZ214"/>
      <c r="PA214"/>
      <c r="PB214"/>
      <c r="PC214"/>
      <c r="PD214"/>
      <c r="PE214"/>
      <c r="PF214"/>
      <c r="PG214"/>
      <c r="PH214"/>
      <c r="PI214"/>
      <c r="PJ214"/>
      <c r="PK214"/>
      <c r="PL214"/>
      <c r="PM214"/>
      <c r="PN214"/>
      <c r="PO214"/>
      <c r="PP214"/>
      <c r="PQ214"/>
      <c r="PR214"/>
      <c r="PS214"/>
      <c r="PT214"/>
      <c r="PU214"/>
      <c r="PV214"/>
      <c r="PW214"/>
      <c r="PX214"/>
      <c r="PY214"/>
      <c r="PZ214"/>
      <c r="QA214"/>
      <c r="QB214"/>
      <c r="QC214"/>
      <c r="QD214"/>
      <c r="QE214"/>
      <c r="QF214"/>
      <c r="QG214"/>
      <c r="QH214"/>
      <c r="QI214"/>
      <c r="QJ214"/>
      <c r="QK214"/>
      <c r="QL214"/>
      <c r="QM214"/>
      <c r="QN214"/>
      <c r="QO214"/>
      <c r="QP214"/>
      <c r="QQ214"/>
      <c r="QR214"/>
      <c r="QS214"/>
      <c r="QT214"/>
      <c r="QU214"/>
      <c r="QV214"/>
      <c r="QW214"/>
      <c r="QX214"/>
      <c r="QY214"/>
      <c r="QZ214"/>
      <c r="RA214"/>
      <c r="RB214"/>
      <c r="RC214"/>
      <c r="RD214"/>
      <c r="RE214"/>
      <c r="RF214"/>
      <c r="RG214"/>
      <c r="RH214"/>
      <c r="RI214"/>
      <c r="RJ214"/>
      <c r="RK214"/>
      <c r="RL214"/>
      <c r="RM214"/>
      <c r="RN214"/>
      <c r="RO214"/>
      <c r="RP214"/>
      <c r="RQ214"/>
      <c r="RR214"/>
      <c r="RS214"/>
      <c r="RT214"/>
      <c r="RU214"/>
      <c r="RV214"/>
      <c r="RW214"/>
      <c r="RX214"/>
      <c r="RY214"/>
      <c r="RZ214"/>
      <c r="SA214"/>
      <c r="SB214"/>
      <c r="SC214"/>
      <c r="SD214"/>
      <c r="SE214"/>
      <c r="SF214"/>
      <c r="SG214"/>
      <c r="SH214"/>
      <c r="SI214"/>
      <c r="SJ214"/>
      <c r="SK214"/>
      <c r="SL214"/>
      <c r="SM214"/>
      <c r="SN214"/>
      <c r="SO214"/>
      <c r="SP214"/>
      <c r="SQ214"/>
      <c r="SR214"/>
      <c r="SS214"/>
      <c r="ST214"/>
      <c r="SU214"/>
      <c r="SV214"/>
      <c r="SW214"/>
      <c r="SX214"/>
      <c r="SY214"/>
      <c r="SZ214"/>
      <c r="TA214"/>
      <c r="TB214"/>
      <c r="TC214"/>
      <c r="TD214"/>
      <c r="TE214"/>
      <c r="TF214"/>
      <c r="TG214"/>
      <c r="TH214"/>
      <c r="TI214"/>
      <c r="TJ214"/>
      <c r="TK214"/>
      <c r="TL214"/>
      <c r="TM214"/>
      <c r="TN214"/>
      <c r="TO214"/>
      <c r="TP214"/>
      <c r="TQ214"/>
      <c r="TR214"/>
      <c r="TS214"/>
      <c r="TT214"/>
      <c r="TU214"/>
      <c r="TV214"/>
      <c r="TW214"/>
      <c r="TX214"/>
      <c r="TY214"/>
      <c r="TZ214"/>
      <c r="UA214"/>
      <c r="UB214"/>
      <c r="UC214"/>
      <c r="UD214"/>
      <c r="UE214"/>
      <c r="UF214"/>
      <c r="UG214"/>
      <c r="UH214"/>
      <c r="UI214"/>
      <c r="UJ214"/>
      <c r="UK214"/>
      <c r="UL214"/>
      <c r="UM214"/>
      <c r="UN214"/>
      <c r="UO214"/>
      <c r="UP214"/>
      <c r="UQ214"/>
      <c r="UR214"/>
      <c r="US214"/>
      <c r="UT214"/>
      <c r="UU214"/>
      <c r="UV214"/>
      <c r="UW214"/>
      <c r="UX214"/>
      <c r="UY214"/>
      <c r="UZ214"/>
      <c r="VA214"/>
      <c r="VB214"/>
      <c r="VC214"/>
      <c r="VD214"/>
      <c r="VE214"/>
      <c r="VF214"/>
      <c r="VG214"/>
      <c r="VH214"/>
      <c r="VI214"/>
      <c r="VJ214"/>
      <c r="VK214"/>
      <c r="VL214"/>
      <c r="VM214"/>
      <c r="VN214"/>
      <c r="VO214"/>
      <c r="VP214"/>
      <c r="VQ214"/>
      <c r="VR214"/>
      <c r="VS214"/>
      <c r="VT214"/>
      <c r="VU214"/>
      <c r="VV214"/>
      <c r="VW214"/>
      <c r="VX214"/>
      <c r="VY214"/>
      <c r="VZ214"/>
      <c r="WA214"/>
      <c r="WB214"/>
      <c r="WC214"/>
      <c r="WD214"/>
      <c r="WE214"/>
      <c r="WF214"/>
      <c r="WG214"/>
      <c r="WH214"/>
      <c r="WI214"/>
      <c r="WJ214"/>
      <c r="WK214"/>
      <c r="WL214"/>
      <c r="WM214"/>
      <c r="WN214"/>
      <c r="WO214"/>
      <c r="WP214"/>
      <c r="WQ214"/>
      <c r="WR214"/>
      <c r="WS214"/>
      <c r="WT214"/>
      <c r="WU214"/>
      <c r="WV214"/>
      <c r="WW214"/>
      <c r="WX214"/>
      <c r="WY214"/>
      <c r="WZ214"/>
      <c r="XA214"/>
      <c r="XB214"/>
      <c r="XC214"/>
      <c r="XD214"/>
      <c r="XE214"/>
      <c r="XF214"/>
      <c r="XG214"/>
      <c r="XH214"/>
      <c r="XI214"/>
      <c r="XJ214"/>
      <c r="XK214"/>
      <c r="XL214"/>
      <c r="XM214"/>
      <c r="XN214"/>
      <c r="XO214"/>
      <c r="XP214"/>
      <c r="XQ214"/>
      <c r="XR214"/>
      <c r="XS214"/>
      <c r="XT214"/>
      <c r="XU214"/>
      <c r="XV214"/>
      <c r="XW214"/>
      <c r="XX214"/>
      <c r="XY214"/>
      <c r="XZ214"/>
      <c r="YA214"/>
      <c r="YB214"/>
      <c r="YC214"/>
      <c r="YD214"/>
      <c r="YE214"/>
      <c r="YF214"/>
      <c r="YG214"/>
      <c r="YH214"/>
      <c r="YI214"/>
      <c r="YJ214"/>
      <c r="YK214"/>
      <c r="YL214"/>
      <c r="YM214"/>
      <c r="YN214"/>
      <c r="YO214"/>
      <c r="YP214"/>
      <c r="YQ214"/>
      <c r="YR214"/>
      <c r="YS214"/>
      <c r="YT214"/>
      <c r="YU214"/>
      <c r="YV214"/>
      <c r="YW214"/>
      <c r="YX214"/>
      <c r="YY214"/>
      <c r="YZ214"/>
      <c r="ZA214"/>
      <c r="ZB214"/>
      <c r="ZC214"/>
      <c r="ZD214"/>
      <c r="ZE214"/>
      <c r="ZF214"/>
      <c r="ZG214"/>
      <c r="ZH214"/>
      <c r="ZI214"/>
      <c r="ZJ214"/>
      <c r="ZK214"/>
      <c r="ZL214"/>
      <c r="ZM214"/>
      <c r="ZN214"/>
      <c r="ZO214"/>
      <c r="ZP214"/>
      <c r="ZQ214"/>
      <c r="ZR214"/>
      <c r="ZS214"/>
      <c r="ZT214"/>
      <c r="ZU214"/>
      <c r="ZV214"/>
      <c r="ZW214"/>
      <c r="ZX214"/>
      <c r="ZY214"/>
      <c r="ZZ214"/>
      <c r="AAA214"/>
      <c r="AAB214"/>
      <c r="AAC214"/>
      <c r="AAD214"/>
      <c r="AAE214"/>
      <c r="AAF214"/>
      <c r="AAG214"/>
      <c r="AAH214"/>
      <c r="AAI214"/>
      <c r="AAJ214"/>
      <c r="AAK214"/>
      <c r="AAL214"/>
      <c r="AAM214"/>
      <c r="AAN214"/>
      <c r="AAO214"/>
      <c r="AAP214"/>
      <c r="AAQ214"/>
      <c r="AAR214"/>
      <c r="AAS214"/>
      <c r="AAT214"/>
      <c r="AAU214"/>
      <c r="AAV214"/>
      <c r="AAW214"/>
      <c r="AAX214"/>
      <c r="AAY214"/>
      <c r="AAZ214"/>
      <c r="ABA214"/>
      <c r="ABB214"/>
      <c r="ABC214"/>
      <c r="ABD214"/>
      <c r="ABE214"/>
      <c r="ABF214"/>
      <c r="ABG214"/>
      <c r="ABH214"/>
      <c r="ABI214"/>
      <c r="ABJ214"/>
      <c r="ABK214"/>
      <c r="ABL214"/>
      <c r="ABM214"/>
      <c r="ABN214"/>
      <c r="ABO214"/>
      <c r="ABP214"/>
      <c r="ABQ214"/>
      <c r="ABR214"/>
      <c r="ABS214"/>
      <c r="ABT214"/>
      <c r="ABU214"/>
      <c r="ABV214"/>
      <c r="ABW214"/>
      <c r="ABX214"/>
      <c r="ABY214"/>
      <c r="ABZ214"/>
      <c r="ACA214"/>
      <c r="ACB214"/>
      <c r="ACC214"/>
      <c r="ACD214"/>
      <c r="ACE214"/>
      <c r="ACF214"/>
      <c r="ACG214"/>
      <c r="ACH214"/>
      <c r="ACI214"/>
      <c r="ACJ214"/>
      <c r="ACK214"/>
      <c r="ACL214"/>
      <c r="ACM214"/>
      <c r="ACN214"/>
      <c r="ACO214"/>
      <c r="ACP214"/>
      <c r="ACQ214"/>
      <c r="ACR214"/>
      <c r="ACS214"/>
      <c r="ACT214"/>
      <c r="ACU214"/>
      <c r="ACV214"/>
      <c r="ACW214"/>
      <c r="ACX214"/>
      <c r="ACY214"/>
      <c r="ACZ214"/>
      <c r="ADA214"/>
      <c r="ADB214"/>
      <c r="ADC214"/>
      <c r="ADD214"/>
      <c r="ADE214"/>
      <c r="ADF214"/>
      <c r="ADG214"/>
      <c r="ADH214"/>
      <c r="ADI214"/>
      <c r="ADJ214"/>
      <c r="ADK214"/>
      <c r="ADL214"/>
      <c r="ADM214"/>
      <c r="ADN214"/>
      <c r="ADO214"/>
      <c r="ADP214"/>
      <c r="ADQ214"/>
      <c r="ADR214"/>
      <c r="ADS214"/>
      <c r="ADT214"/>
      <c r="ADU214"/>
      <c r="ADV214"/>
      <c r="ADW214"/>
      <c r="ADX214"/>
      <c r="ADY214"/>
      <c r="ADZ214"/>
      <c r="AEA214"/>
      <c r="AEB214"/>
      <c r="AEC214"/>
      <c r="AED214"/>
      <c r="AEE214"/>
      <c r="AEF214"/>
      <c r="AEG214"/>
      <c r="AEH214"/>
      <c r="AEI214"/>
      <c r="AEJ214"/>
      <c r="AEK214"/>
      <c r="AEL214"/>
      <c r="AEM214"/>
      <c r="AEN214"/>
      <c r="AEO214"/>
      <c r="AEP214"/>
      <c r="AEQ214"/>
      <c r="AER214"/>
      <c r="AES214"/>
      <c r="AET214"/>
      <c r="AEU214"/>
      <c r="AEV214"/>
      <c r="AEW214"/>
      <c r="AEX214"/>
      <c r="AEY214"/>
      <c r="AEZ214"/>
      <c r="AFA214"/>
      <c r="AFB214"/>
      <c r="AFC214"/>
      <c r="AFD214"/>
      <c r="AFE214"/>
      <c r="AFF214"/>
      <c r="AFG214"/>
      <c r="AFH214"/>
      <c r="AFI214"/>
      <c r="AFJ214"/>
      <c r="AFK214"/>
      <c r="AFL214"/>
      <c r="AFM214"/>
      <c r="AFN214"/>
      <c r="AFO214"/>
      <c r="AFP214"/>
      <c r="AFQ214"/>
      <c r="AFR214"/>
      <c r="AFS214"/>
      <c r="AFT214"/>
      <c r="AFU214"/>
      <c r="AFV214"/>
      <c r="AFW214"/>
      <c r="AFX214"/>
      <c r="AFY214"/>
      <c r="AFZ214"/>
      <c r="AGA214"/>
      <c r="AGB214"/>
      <c r="AGC214"/>
      <c r="AGD214"/>
      <c r="AGE214"/>
      <c r="AGF214"/>
      <c r="AGG214"/>
      <c r="AGH214"/>
      <c r="AGI214"/>
      <c r="AGJ214"/>
      <c r="AGK214"/>
      <c r="AGL214"/>
      <c r="AGM214"/>
      <c r="AGN214"/>
      <c r="AGO214"/>
      <c r="AGP214"/>
      <c r="AGQ214"/>
      <c r="AGR214"/>
      <c r="AGS214"/>
      <c r="AGT214"/>
      <c r="AGU214"/>
      <c r="AGV214"/>
      <c r="AGW214"/>
      <c r="AGX214"/>
      <c r="AGY214"/>
      <c r="AGZ214"/>
      <c r="AHA214"/>
      <c r="AHB214"/>
      <c r="AHC214"/>
      <c r="AHD214"/>
      <c r="AHE214"/>
      <c r="AHF214"/>
      <c r="AHG214"/>
      <c r="AHH214"/>
      <c r="AHI214"/>
      <c r="AHJ214"/>
      <c r="AHK214"/>
      <c r="AHL214"/>
      <c r="AHM214"/>
      <c r="AHN214"/>
      <c r="AHO214"/>
      <c r="AHP214"/>
      <c r="AHQ214"/>
      <c r="AHR214"/>
      <c r="AHS214"/>
      <c r="AHT214"/>
      <c r="AHU214"/>
      <c r="AHV214"/>
      <c r="AHW214"/>
      <c r="AHX214"/>
      <c r="AHY214"/>
      <c r="AHZ214"/>
      <c r="AIA214"/>
      <c r="AIB214"/>
      <c r="AIC214"/>
      <c r="AID214"/>
      <c r="AIE214"/>
      <c r="AIF214"/>
      <c r="AIG214"/>
      <c r="AIH214"/>
      <c r="AII214"/>
      <c r="AIJ214"/>
      <c r="AIK214"/>
      <c r="AIL214"/>
      <c r="AIM214"/>
      <c r="AIN214"/>
      <c r="AIO214"/>
      <c r="AIP214"/>
      <c r="AIQ214"/>
      <c r="AIR214"/>
      <c r="AIS214"/>
      <c r="AIT214"/>
      <c r="AIU214"/>
      <c r="AIV214"/>
      <c r="AIW214"/>
      <c r="AIX214"/>
      <c r="AIY214"/>
      <c r="AIZ214"/>
      <c r="AJA214"/>
      <c r="AJB214"/>
      <c r="AJC214"/>
      <c r="AJD214"/>
      <c r="AJE214"/>
      <c r="AJF214"/>
      <c r="AJG214"/>
      <c r="AJH214"/>
      <c r="AJI214"/>
      <c r="AJJ214"/>
      <c r="AJK214"/>
      <c r="AJL214"/>
      <c r="AJM214"/>
      <c r="AJN214"/>
      <c r="AJO214"/>
      <c r="AJP214"/>
      <c r="AJQ214"/>
      <c r="AJR214"/>
      <c r="AJS214"/>
      <c r="AJT214"/>
      <c r="AJU214"/>
      <c r="AJV214"/>
      <c r="AJW214"/>
      <c r="AJX214"/>
      <c r="AJY214"/>
      <c r="AJZ214"/>
      <c r="AKA214"/>
      <c r="AKB214"/>
      <c r="AKC214"/>
      <c r="AKD214"/>
      <c r="AKE214"/>
      <c r="AKF214"/>
      <c r="AKG214"/>
      <c r="AKH214"/>
      <c r="AKI214"/>
      <c r="AKJ214"/>
      <c r="AKK214"/>
      <c r="AKL214"/>
      <c r="AKM214"/>
      <c r="AKN214"/>
      <c r="AKO214"/>
      <c r="AKP214"/>
      <c r="AKQ214"/>
      <c r="AKR214"/>
      <c r="AKS214"/>
      <c r="AKT214"/>
      <c r="AKU214"/>
      <c r="AKV214"/>
      <c r="AKW214"/>
      <c r="AKX214"/>
      <c r="AKY214"/>
      <c r="AKZ214"/>
      <c r="ALA214"/>
      <c r="ALB214"/>
      <c r="ALC214"/>
      <c r="ALD214"/>
      <c r="ALE214"/>
      <c r="ALF214"/>
      <c r="ALG214"/>
      <c r="ALH214"/>
      <c r="ALI214"/>
      <c r="ALJ214"/>
      <c r="ALK214"/>
      <c r="ALL214"/>
      <c r="ALM214"/>
      <c r="ALN214"/>
      <c r="ALO214"/>
      <c r="ALP214"/>
      <c r="ALQ214"/>
      <c r="ALR214"/>
      <c r="ALS214"/>
      <c r="ALT214"/>
      <c r="ALU214"/>
      <c r="ALV214"/>
      <c r="ALW214"/>
      <c r="ALX214"/>
      <c r="ALY214"/>
      <c r="ALZ214"/>
      <c r="AMA214"/>
      <c r="AMB214"/>
      <c r="AMC214"/>
      <c r="AMD214"/>
      <c r="AME214"/>
      <c r="AMF214"/>
      <c r="AMG214"/>
      <c r="AMH214"/>
      <c r="AMI214"/>
      <c r="AMJ214"/>
      <c r="AMK214"/>
      <c r="AML214"/>
      <c r="AMM214"/>
      <c r="AMN214"/>
      <c r="AMO214"/>
      <c r="AMP214"/>
      <c r="AMQ214"/>
      <c r="AMR214"/>
      <c r="AMS214"/>
      <c r="AMT214"/>
      <c r="AMU214"/>
      <c r="AMV214"/>
      <c r="AMW214"/>
      <c r="AMX214"/>
      <c r="AMY214"/>
      <c r="AMZ214"/>
      <c r="ANA214"/>
      <c r="ANB214"/>
      <c r="ANC214"/>
      <c r="AND214"/>
      <c r="ANE214"/>
      <c r="ANF214"/>
      <c r="ANG214"/>
      <c r="ANH214"/>
      <c r="ANI214"/>
      <c r="ANJ214"/>
      <c r="ANK214"/>
      <c r="ANL214"/>
      <c r="ANM214"/>
      <c r="ANN214"/>
      <c r="ANO214"/>
      <c r="ANP214"/>
      <c r="ANQ214"/>
      <c r="ANR214"/>
      <c r="ANS214"/>
      <c r="ANT214"/>
      <c r="ANU214"/>
      <c r="ANV214"/>
      <c r="ANW214"/>
      <c r="ANX214"/>
      <c r="ANY214"/>
      <c r="ANZ214"/>
      <c r="AOA214"/>
      <c r="AOB214"/>
      <c r="AOC214"/>
      <c r="AOD214"/>
      <c r="AOE214"/>
      <c r="AOF214"/>
      <c r="AOG214"/>
      <c r="AOH214"/>
      <c r="AOI214"/>
      <c r="AOJ214"/>
      <c r="AOK214"/>
      <c r="AOL214"/>
      <c r="AOM214"/>
      <c r="AON214"/>
      <c r="AOO214"/>
      <c r="AOP214"/>
      <c r="AOQ214"/>
      <c r="AOR214"/>
      <c r="AOS214"/>
      <c r="AOT214"/>
      <c r="AOU214"/>
      <c r="AOV214"/>
      <c r="AOW214"/>
      <c r="AOX214"/>
      <c r="AOY214"/>
      <c r="AOZ214"/>
      <c r="APA214"/>
      <c r="APB214"/>
      <c r="APC214"/>
      <c r="APD214"/>
      <c r="APE214"/>
      <c r="APF214"/>
      <c r="APG214"/>
      <c r="APH214"/>
      <c r="API214"/>
      <c r="APJ214"/>
      <c r="APK214"/>
      <c r="APL214"/>
      <c r="APM214"/>
      <c r="APN214"/>
      <c r="APO214"/>
      <c r="APP214"/>
      <c r="APQ214"/>
      <c r="APR214"/>
      <c r="APS214"/>
      <c r="APT214"/>
      <c r="APU214"/>
      <c r="APV214"/>
      <c r="APW214"/>
      <c r="APX214"/>
      <c r="APY214"/>
      <c r="APZ214"/>
      <c r="AQA214"/>
      <c r="AQB214"/>
      <c r="AQC214"/>
      <c r="AQD214"/>
      <c r="AQE214"/>
      <c r="AQF214"/>
      <c r="AQG214"/>
      <c r="AQH214"/>
      <c r="AQI214"/>
      <c r="AQJ214"/>
      <c r="AQK214"/>
      <c r="AQL214"/>
      <c r="AQM214"/>
      <c r="AQN214"/>
      <c r="AQO214"/>
      <c r="AQP214"/>
      <c r="AQQ214"/>
      <c r="AQR214"/>
      <c r="AQS214"/>
      <c r="AQT214"/>
      <c r="AQU214"/>
      <c r="AQV214"/>
      <c r="AQW214"/>
      <c r="AQX214"/>
      <c r="AQY214"/>
      <c r="AQZ214"/>
      <c r="ARA214"/>
      <c r="ARB214"/>
      <c r="ARC214"/>
      <c r="ARD214"/>
      <c r="ARE214"/>
      <c r="ARF214"/>
      <c r="ARG214"/>
      <c r="ARH214"/>
      <c r="ARI214"/>
      <c r="ARJ214"/>
      <c r="ARK214"/>
      <c r="ARL214"/>
      <c r="ARM214"/>
      <c r="ARN214"/>
      <c r="ARO214"/>
      <c r="ARP214"/>
      <c r="ARQ214"/>
      <c r="ARR214"/>
      <c r="ARS214"/>
      <c r="ART214"/>
      <c r="ARU214"/>
      <c r="ARV214"/>
      <c r="ARW214"/>
      <c r="ARX214"/>
      <c r="ARY214"/>
      <c r="ARZ214"/>
      <c r="ASA214"/>
      <c r="ASB214"/>
      <c r="ASC214"/>
      <c r="ASD214"/>
      <c r="ASE214"/>
      <c r="ASF214"/>
      <c r="ASG214"/>
      <c r="ASH214"/>
      <c r="ASI214"/>
      <c r="ASJ214"/>
      <c r="ASK214"/>
      <c r="ASL214"/>
      <c r="ASM214"/>
      <c r="ASN214"/>
      <c r="ASO214"/>
      <c r="ASP214"/>
      <c r="ASQ214"/>
      <c r="ASR214"/>
      <c r="ASS214"/>
      <c r="AST214"/>
      <c r="ASU214"/>
      <c r="ASV214"/>
      <c r="ASW214"/>
      <c r="ASX214"/>
      <c r="ASY214"/>
      <c r="ASZ214"/>
      <c r="ATA214"/>
      <c r="ATB214"/>
      <c r="ATC214"/>
      <c r="ATD214"/>
      <c r="ATE214"/>
      <c r="ATF214"/>
      <c r="ATG214"/>
      <c r="ATH214"/>
      <c r="ATI214"/>
      <c r="ATJ214"/>
      <c r="ATK214"/>
      <c r="ATL214"/>
      <c r="ATM214"/>
      <c r="ATN214"/>
      <c r="ATO214"/>
      <c r="ATP214"/>
      <c r="ATQ214"/>
      <c r="ATR214"/>
      <c r="ATS214"/>
      <c r="ATT214"/>
      <c r="ATU214"/>
      <c r="ATV214"/>
      <c r="ATW214"/>
      <c r="ATX214"/>
      <c r="ATY214"/>
      <c r="ATZ214"/>
      <c r="AUA214"/>
      <c r="AUB214"/>
      <c r="AUC214"/>
      <c r="AUD214"/>
      <c r="AUE214"/>
      <c r="AUF214"/>
      <c r="AUG214"/>
      <c r="AUH214"/>
      <c r="AUI214"/>
      <c r="AUJ214"/>
      <c r="AUK214"/>
      <c r="AUL214"/>
      <c r="AUM214"/>
      <c r="AUN214"/>
      <c r="AUO214"/>
      <c r="AUP214"/>
      <c r="AUQ214"/>
      <c r="AUR214"/>
      <c r="AUS214"/>
      <c r="AUT214"/>
      <c r="AUU214"/>
      <c r="AUV214"/>
      <c r="AUW214"/>
      <c r="AUX214"/>
      <c r="AUY214"/>
      <c r="AUZ214"/>
      <c r="AVA214"/>
      <c r="AVB214"/>
      <c r="AVC214"/>
      <c r="AVD214"/>
      <c r="AVE214"/>
      <c r="AVF214"/>
      <c r="AVG214"/>
      <c r="AVH214"/>
      <c r="AVI214"/>
      <c r="AVJ214"/>
      <c r="AVK214"/>
      <c r="AVL214"/>
      <c r="AVM214"/>
      <c r="AVN214"/>
      <c r="AVO214"/>
      <c r="AVP214"/>
      <c r="AVQ214"/>
      <c r="AVR214"/>
      <c r="AVS214"/>
      <c r="AVT214"/>
      <c r="AVU214"/>
      <c r="AVV214"/>
      <c r="AVW214"/>
      <c r="AVX214"/>
      <c r="AVY214"/>
      <c r="AVZ214"/>
      <c r="AWA214"/>
      <c r="AWB214"/>
      <c r="AWC214"/>
      <c r="AWD214"/>
      <c r="AWE214"/>
      <c r="AWF214"/>
      <c r="AWG214"/>
      <c r="AWH214"/>
      <c r="AWI214"/>
      <c r="AWJ214"/>
      <c r="AWK214"/>
      <c r="AWL214"/>
      <c r="AWM214"/>
      <c r="AWN214"/>
      <c r="AWO214"/>
      <c r="AWP214"/>
      <c r="AWQ214"/>
      <c r="AWR214"/>
      <c r="AWS214"/>
      <c r="AWT214"/>
      <c r="AWU214"/>
      <c r="AWV214"/>
      <c r="AWW214"/>
      <c r="AWX214"/>
      <c r="AWY214"/>
      <c r="AWZ214"/>
      <c r="AXA214"/>
      <c r="AXB214"/>
      <c r="AXC214"/>
      <c r="AXD214"/>
      <c r="AXE214"/>
      <c r="AXF214"/>
      <c r="AXG214"/>
      <c r="AXH214"/>
      <c r="AXI214"/>
      <c r="AXJ214"/>
      <c r="AXK214"/>
      <c r="AXL214"/>
      <c r="AXM214"/>
      <c r="AXN214"/>
      <c r="AXO214"/>
      <c r="AXP214"/>
      <c r="AXQ214"/>
      <c r="AXR214"/>
      <c r="AXS214"/>
      <c r="AXT214"/>
      <c r="AXU214"/>
      <c r="AXV214"/>
      <c r="AXW214"/>
      <c r="AXX214"/>
      <c r="AXY214"/>
      <c r="AXZ214"/>
      <c r="AYA214"/>
      <c r="AYB214"/>
      <c r="AYC214"/>
      <c r="AYD214"/>
      <c r="AYE214"/>
      <c r="AYF214"/>
      <c r="AYG214"/>
      <c r="AYH214"/>
      <c r="AYI214"/>
      <c r="AYJ214"/>
      <c r="AYK214"/>
      <c r="AYL214"/>
      <c r="AYM214"/>
      <c r="AYN214"/>
      <c r="AYO214"/>
      <c r="AYP214"/>
      <c r="AYQ214"/>
      <c r="AYR214"/>
      <c r="AYS214"/>
      <c r="AYT214"/>
      <c r="AYU214"/>
      <c r="AYV214"/>
      <c r="AYW214"/>
      <c r="AYX214"/>
      <c r="AYY214"/>
      <c r="AYZ214"/>
      <c r="AZA214"/>
      <c r="AZB214"/>
      <c r="AZC214"/>
      <c r="AZD214"/>
      <c r="AZE214"/>
      <c r="AZF214"/>
      <c r="AZG214"/>
      <c r="AZH214"/>
      <c r="AZI214"/>
      <c r="AZJ214"/>
      <c r="AZK214"/>
      <c r="AZL214"/>
      <c r="AZM214"/>
      <c r="AZN214"/>
      <c r="AZO214"/>
      <c r="AZP214"/>
      <c r="AZQ214"/>
      <c r="AZR214"/>
      <c r="AZS214"/>
      <c r="AZT214"/>
      <c r="AZU214"/>
      <c r="AZV214"/>
      <c r="AZW214"/>
      <c r="AZX214"/>
      <c r="AZY214"/>
      <c r="AZZ214"/>
      <c r="BAA214"/>
      <c r="BAB214"/>
      <c r="BAC214"/>
      <c r="BAD214"/>
      <c r="BAE214"/>
      <c r="BAF214"/>
      <c r="BAG214"/>
      <c r="BAH214"/>
      <c r="BAI214"/>
      <c r="BAJ214"/>
      <c r="BAK214"/>
      <c r="BAL214"/>
      <c r="BAM214"/>
      <c r="BAN214"/>
      <c r="BAO214"/>
      <c r="BAP214"/>
      <c r="BAQ214"/>
      <c r="BAR214"/>
      <c r="BAS214"/>
      <c r="BAT214"/>
      <c r="BAU214"/>
      <c r="BAV214"/>
      <c r="BAW214"/>
      <c r="BAX214"/>
      <c r="BAY214"/>
      <c r="BAZ214"/>
      <c r="BBA214"/>
      <c r="BBB214"/>
      <c r="BBC214"/>
      <c r="BBD214"/>
      <c r="BBE214"/>
      <c r="BBF214"/>
      <c r="BBG214"/>
      <c r="BBH214"/>
      <c r="BBI214"/>
      <c r="BBJ214"/>
      <c r="BBK214"/>
      <c r="BBL214"/>
      <c r="BBM214"/>
      <c r="BBN214"/>
      <c r="BBO214"/>
      <c r="BBP214"/>
      <c r="BBQ214"/>
      <c r="BBR214"/>
      <c r="BBS214"/>
      <c r="BBT214"/>
      <c r="BBU214"/>
      <c r="BBV214"/>
      <c r="BBW214"/>
      <c r="BBX214"/>
      <c r="BBY214"/>
      <c r="BBZ214"/>
      <c r="BCA214"/>
      <c r="BCB214"/>
      <c r="BCC214"/>
      <c r="BCD214"/>
      <c r="BCE214"/>
      <c r="BCF214"/>
      <c r="BCG214"/>
      <c r="BCH214"/>
      <c r="BCI214"/>
      <c r="BCJ214"/>
      <c r="BCK214"/>
      <c r="BCL214"/>
      <c r="BCM214"/>
      <c r="BCN214"/>
      <c r="BCO214"/>
      <c r="BCP214"/>
      <c r="BCQ214"/>
      <c r="BCR214"/>
      <c r="BCS214"/>
      <c r="BCT214"/>
      <c r="BCU214"/>
      <c r="BCV214"/>
      <c r="BCW214"/>
      <c r="BCX214"/>
      <c r="BCY214"/>
      <c r="BCZ214"/>
      <c r="BDA214"/>
      <c r="BDB214"/>
      <c r="BDC214"/>
      <c r="BDD214"/>
      <c r="BDE214"/>
      <c r="BDF214"/>
      <c r="BDG214"/>
      <c r="BDH214"/>
      <c r="BDI214"/>
      <c r="BDJ214"/>
      <c r="BDK214"/>
      <c r="BDL214"/>
      <c r="BDM214"/>
      <c r="BDN214"/>
      <c r="BDO214"/>
      <c r="BDP214"/>
      <c r="BDQ214"/>
      <c r="BDR214"/>
      <c r="BDS214"/>
      <c r="BDT214"/>
      <c r="BDU214"/>
      <c r="BDV214"/>
      <c r="BDW214"/>
      <c r="BDX214"/>
      <c r="BDY214"/>
      <c r="BDZ214"/>
      <c r="BEA214"/>
      <c r="BEB214"/>
      <c r="BEC214"/>
      <c r="BED214"/>
      <c r="BEE214"/>
      <c r="BEF214"/>
      <c r="BEG214"/>
      <c r="BEH214"/>
      <c r="BEI214"/>
      <c r="BEJ214"/>
      <c r="BEK214"/>
      <c r="BEL214"/>
      <c r="BEM214"/>
      <c r="BEN214"/>
      <c r="BEO214"/>
      <c r="BEP214"/>
      <c r="BEQ214"/>
      <c r="BER214"/>
      <c r="BES214"/>
      <c r="BET214"/>
      <c r="BEU214"/>
      <c r="BEV214"/>
      <c r="BEW214"/>
      <c r="BEX214"/>
      <c r="BEY214"/>
      <c r="BEZ214"/>
      <c r="BFA214"/>
      <c r="BFB214"/>
      <c r="BFC214"/>
      <c r="BFD214"/>
      <c r="BFE214"/>
      <c r="BFF214"/>
      <c r="BFG214"/>
      <c r="BFH214"/>
      <c r="BFI214"/>
      <c r="BFJ214"/>
      <c r="BFK214"/>
      <c r="BFL214"/>
      <c r="BFM214"/>
      <c r="BFN214"/>
      <c r="BFO214"/>
      <c r="BFP214"/>
      <c r="BFQ214"/>
      <c r="BFR214"/>
      <c r="BFS214"/>
      <c r="BFT214"/>
      <c r="BFU214"/>
      <c r="BFV214"/>
      <c r="BFW214"/>
      <c r="BFX214"/>
      <c r="BFY214"/>
      <c r="BFZ214"/>
      <c r="BGA214"/>
      <c r="BGB214"/>
      <c r="BGC214"/>
      <c r="BGD214"/>
      <c r="BGE214"/>
      <c r="BGF214"/>
      <c r="BGG214"/>
      <c r="BGH214"/>
      <c r="BGI214"/>
      <c r="BGJ214"/>
      <c r="BGK214"/>
      <c r="BGL214"/>
      <c r="BGM214"/>
      <c r="BGN214"/>
      <c r="BGO214"/>
      <c r="BGP214"/>
      <c r="BGQ214"/>
      <c r="BGR214"/>
      <c r="BGS214"/>
      <c r="BGT214"/>
      <c r="BGU214"/>
      <c r="BGV214"/>
      <c r="BGW214"/>
      <c r="BGX214"/>
      <c r="BGY214"/>
      <c r="BGZ214"/>
      <c r="BHA214"/>
      <c r="BHB214"/>
      <c r="BHC214"/>
      <c r="BHD214"/>
      <c r="BHE214"/>
      <c r="BHF214"/>
      <c r="BHG214"/>
      <c r="BHH214"/>
      <c r="BHI214"/>
      <c r="BHJ214"/>
      <c r="BHK214"/>
      <c r="BHL214"/>
      <c r="BHM214"/>
      <c r="BHN214"/>
      <c r="BHO214"/>
      <c r="BHP214"/>
      <c r="BHQ214"/>
      <c r="BHR214"/>
      <c r="BHS214"/>
      <c r="BHT214"/>
      <c r="BHU214"/>
      <c r="BHV214"/>
      <c r="BHW214"/>
      <c r="BHX214"/>
      <c r="BHY214"/>
      <c r="BHZ214"/>
      <c r="BIA214"/>
      <c r="BIB214"/>
      <c r="BIC214"/>
      <c r="BID214"/>
      <c r="BIE214"/>
      <c r="BIF214"/>
      <c r="BIG214"/>
      <c r="BIH214"/>
      <c r="BII214"/>
      <c r="BIJ214"/>
      <c r="BIK214"/>
      <c r="BIL214"/>
      <c r="BIM214"/>
      <c r="BIN214"/>
      <c r="BIO214"/>
      <c r="BIP214"/>
      <c r="BIQ214"/>
      <c r="BIR214"/>
      <c r="BIS214"/>
      <c r="BIT214"/>
      <c r="BIU214"/>
      <c r="BIV214"/>
      <c r="BIW214"/>
      <c r="BIX214"/>
      <c r="BIY214"/>
      <c r="BIZ214"/>
      <c r="BJA214"/>
      <c r="BJB214"/>
      <c r="BJC214"/>
      <c r="BJD214"/>
      <c r="BJE214"/>
      <c r="BJF214"/>
      <c r="BJG214"/>
      <c r="BJH214"/>
      <c r="BJI214"/>
      <c r="BJJ214"/>
      <c r="BJK214"/>
      <c r="BJL214"/>
      <c r="BJM214"/>
      <c r="BJN214"/>
      <c r="BJO214"/>
      <c r="BJP214"/>
      <c r="BJQ214"/>
      <c r="BJR214"/>
      <c r="BJS214"/>
      <c r="BJT214"/>
      <c r="BJU214"/>
      <c r="BJV214"/>
      <c r="BJW214"/>
      <c r="BJX214"/>
      <c r="BJY214"/>
      <c r="BJZ214"/>
      <c r="BKA214"/>
      <c r="BKB214"/>
      <c r="BKC214"/>
      <c r="BKD214"/>
      <c r="BKE214"/>
      <c r="BKF214"/>
      <c r="BKG214"/>
      <c r="BKH214"/>
      <c r="BKI214"/>
      <c r="BKJ214"/>
      <c r="BKK214"/>
      <c r="BKL214"/>
      <c r="BKM214"/>
      <c r="BKN214"/>
      <c r="BKO214"/>
      <c r="BKP214"/>
      <c r="BKQ214"/>
      <c r="BKR214"/>
      <c r="BKS214"/>
      <c r="BKT214"/>
      <c r="BKU214"/>
      <c r="BKV214"/>
      <c r="BKW214"/>
      <c r="BKX214"/>
      <c r="BKY214"/>
      <c r="BKZ214"/>
      <c r="BLA214"/>
      <c r="BLB214"/>
      <c r="BLC214"/>
      <c r="BLD214"/>
      <c r="BLE214"/>
      <c r="BLF214"/>
      <c r="BLG214"/>
      <c r="BLH214"/>
      <c r="BLI214"/>
      <c r="BLJ214"/>
      <c r="BLK214"/>
      <c r="BLL214"/>
      <c r="BLM214"/>
      <c r="BLN214"/>
      <c r="BLO214"/>
      <c r="BLP214"/>
      <c r="BLQ214"/>
      <c r="BLR214"/>
      <c r="BLS214"/>
      <c r="BLT214"/>
      <c r="BLU214"/>
      <c r="BLV214"/>
      <c r="BLW214"/>
      <c r="BLX214"/>
      <c r="BLY214"/>
      <c r="BLZ214"/>
      <c r="BMA214"/>
      <c r="BMB214"/>
      <c r="BMC214"/>
      <c r="BMD214"/>
      <c r="BME214"/>
      <c r="BMF214"/>
      <c r="BMG214"/>
      <c r="BMH214"/>
      <c r="BMI214"/>
      <c r="BMJ214"/>
      <c r="BMK214"/>
      <c r="BML214"/>
      <c r="BMM214"/>
      <c r="BMN214"/>
      <c r="BMO214"/>
      <c r="BMP214"/>
      <c r="BMQ214"/>
      <c r="BMR214"/>
      <c r="BMS214"/>
      <c r="BMT214"/>
      <c r="BMU214"/>
      <c r="BMV214"/>
      <c r="BMW214"/>
      <c r="BMX214"/>
      <c r="BMY214"/>
      <c r="BMZ214"/>
      <c r="BNA214"/>
      <c r="BNB214"/>
      <c r="BNC214"/>
      <c r="BND214"/>
      <c r="BNE214"/>
      <c r="BNF214"/>
      <c r="BNG214"/>
      <c r="BNH214"/>
      <c r="BNI214"/>
      <c r="BNJ214"/>
      <c r="BNK214"/>
      <c r="BNL214"/>
      <c r="BNM214"/>
      <c r="BNN214"/>
      <c r="BNO214"/>
      <c r="BNP214"/>
      <c r="BNQ214"/>
      <c r="BNR214"/>
      <c r="BNS214"/>
      <c r="BNT214"/>
      <c r="BNU214"/>
      <c r="BNV214"/>
      <c r="BNW214"/>
      <c r="BNX214"/>
      <c r="BNY214"/>
      <c r="BNZ214"/>
      <c r="BOA214"/>
      <c r="BOB214"/>
      <c r="BOC214"/>
      <c r="BOD214"/>
      <c r="BOE214"/>
      <c r="BOF214"/>
      <c r="BOG214"/>
      <c r="BOH214"/>
      <c r="BOI214"/>
      <c r="BOJ214"/>
      <c r="BOK214"/>
      <c r="BOL214"/>
      <c r="BOM214"/>
      <c r="BON214"/>
      <c r="BOO214"/>
      <c r="BOP214"/>
      <c r="BOQ214"/>
      <c r="BOR214"/>
      <c r="BOS214"/>
      <c r="BOT214"/>
      <c r="BOU214"/>
      <c r="BOV214"/>
      <c r="BOW214"/>
      <c r="BOX214"/>
      <c r="BOY214"/>
      <c r="BOZ214"/>
      <c r="BPA214"/>
      <c r="BPB214"/>
      <c r="BPC214"/>
      <c r="BPD214"/>
      <c r="BPE214"/>
      <c r="BPF214"/>
      <c r="BPG214"/>
      <c r="BPH214"/>
      <c r="BPI214"/>
      <c r="BPJ214"/>
      <c r="BPK214"/>
      <c r="BPL214"/>
      <c r="BPM214"/>
      <c r="BPN214"/>
      <c r="BPO214"/>
      <c r="BPP214"/>
      <c r="BPQ214"/>
      <c r="BPR214"/>
      <c r="BPS214"/>
      <c r="BPT214"/>
      <c r="BPU214"/>
      <c r="BPV214"/>
      <c r="BPW214"/>
      <c r="BPX214"/>
      <c r="BPY214"/>
      <c r="BPZ214"/>
      <c r="BQA214"/>
      <c r="BQB214"/>
      <c r="BQC214"/>
      <c r="BQD214"/>
      <c r="BQE214"/>
      <c r="BQF214"/>
      <c r="BQG214"/>
      <c r="BQH214"/>
      <c r="BQI214"/>
      <c r="BQJ214"/>
      <c r="BQK214"/>
      <c r="BQL214"/>
      <c r="BQM214"/>
      <c r="BQN214"/>
      <c r="BQO214"/>
      <c r="BQP214"/>
      <c r="BQQ214"/>
      <c r="BQR214"/>
      <c r="BQS214"/>
      <c r="BQT214"/>
      <c r="BQU214"/>
      <c r="BQV214"/>
      <c r="BQW214"/>
      <c r="BQX214"/>
      <c r="BQY214"/>
      <c r="BQZ214"/>
      <c r="BRA214"/>
      <c r="BRB214"/>
      <c r="BRC214"/>
      <c r="BRD214"/>
      <c r="BRE214"/>
      <c r="BRF214"/>
      <c r="BRG214"/>
      <c r="BRH214"/>
      <c r="BRI214"/>
      <c r="BRJ214"/>
      <c r="BRK214"/>
      <c r="BRL214"/>
      <c r="BRM214"/>
      <c r="BRN214"/>
      <c r="BRO214"/>
      <c r="BRP214"/>
      <c r="BRQ214"/>
      <c r="BRR214"/>
      <c r="BRS214"/>
      <c r="BRT214"/>
      <c r="BRU214"/>
      <c r="BRV214"/>
      <c r="BRW214"/>
      <c r="BRX214"/>
      <c r="BRY214"/>
      <c r="BRZ214"/>
      <c r="BSA214"/>
      <c r="BSB214"/>
      <c r="BSC214"/>
      <c r="BSD214"/>
      <c r="BSE214"/>
      <c r="BSF214"/>
      <c r="BSG214"/>
      <c r="BSH214"/>
      <c r="BSI214"/>
      <c r="BSJ214"/>
      <c r="BSK214"/>
      <c r="BSL214"/>
      <c r="BSM214"/>
      <c r="BSN214"/>
      <c r="BSO214"/>
      <c r="BSP214"/>
      <c r="BSQ214"/>
      <c r="BSR214"/>
      <c r="BSS214"/>
      <c r="BST214"/>
      <c r="BSU214"/>
      <c r="BSV214"/>
      <c r="BSW214"/>
      <c r="BSX214"/>
      <c r="BSY214"/>
      <c r="BSZ214"/>
      <c r="BTA214"/>
      <c r="BTB214"/>
      <c r="BTC214"/>
      <c r="BTD214"/>
      <c r="BTE214"/>
      <c r="BTF214"/>
      <c r="BTG214"/>
      <c r="BTH214"/>
      <c r="BTI214"/>
      <c r="BTJ214"/>
      <c r="BTK214"/>
      <c r="BTL214"/>
      <c r="BTM214"/>
      <c r="BTN214"/>
      <c r="BTO214"/>
      <c r="BTP214"/>
      <c r="BTQ214"/>
      <c r="BTR214"/>
      <c r="BTS214"/>
      <c r="BTT214"/>
      <c r="BTU214"/>
      <c r="BTV214"/>
      <c r="BTW214"/>
      <c r="BTX214"/>
      <c r="BTY214"/>
      <c r="BTZ214"/>
      <c r="BUA214"/>
      <c r="BUB214"/>
      <c r="BUC214"/>
      <c r="BUD214"/>
      <c r="BUE214"/>
      <c r="BUF214"/>
      <c r="BUG214"/>
      <c r="BUH214"/>
      <c r="BUI214"/>
      <c r="BUJ214"/>
      <c r="BUK214"/>
      <c r="BUL214"/>
      <c r="BUM214"/>
      <c r="BUN214"/>
      <c r="BUO214"/>
      <c r="BUP214"/>
      <c r="BUQ214"/>
      <c r="BUR214"/>
      <c r="BUS214"/>
      <c r="BUT214"/>
      <c r="BUU214"/>
      <c r="BUV214"/>
      <c r="BUW214"/>
      <c r="BUX214"/>
      <c r="BUY214"/>
      <c r="BUZ214"/>
      <c r="BVA214"/>
      <c r="BVB214"/>
      <c r="BVC214"/>
      <c r="BVD214"/>
      <c r="BVE214"/>
      <c r="BVF214"/>
      <c r="BVG214"/>
      <c r="BVH214"/>
      <c r="BVI214"/>
      <c r="BVJ214"/>
      <c r="BVK214"/>
      <c r="BVL214"/>
      <c r="BVM214"/>
      <c r="BVN214"/>
      <c r="BVO214"/>
      <c r="BVP214"/>
      <c r="BVQ214"/>
      <c r="BVR214"/>
      <c r="BVS214"/>
      <c r="BVT214"/>
      <c r="BVU214"/>
      <c r="BVV214"/>
      <c r="BVW214"/>
      <c r="BVX214"/>
      <c r="BVY214"/>
      <c r="BVZ214"/>
      <c r="BWA214"/>
      <c r="BWB214"/>
      <c r="BWC214"/>
      <c r="BWD214"/>
      <c r="BWE214"/>
      <c r="BWF214"/>
      <c r="BWG214"/>
      <c r="BWH214"/>
      <c r="BWI214"/>
      <c r="BWJ214"/>
      <c r="BWK214"/>
      <c r="BWL214"/>
      <c r="BWM214"/>
      <c r="BWN214"/>
      <c r="BWO214"/>
      <c r="BWP214"/>
      <c r="BWQ214"/>
      <c r="BWR214"/>
      <c r="BWS214"/>
      <c r="BWT214"/>
      <c r="BWU214"/>
      <c r="BWV214"/>
      <c r="BWW214"/>
      <c r="BWX214"/>
      <c r="BWY214"/>
      <c r="BWZ214"/>
      <c r="BXA214"/>
      <c r="BXB214"/>
      <c r="BXC214"/>
      <c r="BXD214"/>
      <c r="BXE214"/>
      <c r="BXF214"/>
      <c r="BXG214"/>
      <c r="BXH214"/>
      <c r="BXI214"/>
      <c r="BXJ214"/>
      <c r="BXK214"/>
      <c r="BXL214"/>
      <c r="BXM214"/>
      <c r="BXN214"/>
      <c r="BXO214"/>
      <c r="BXP214"/>
      <c r="BXQ214"/>
      <c r="BXR214"/>
      <c r="BXS214"/>
      <c r="BXT214"/>
      <c r="BXU214"/>
      <c r="BXV214"/>
      <c r="BXW214"/>
      <c r="BXX214"/>
      <c r="BXY214"/>
      <c r="BXZ214"/>
      <c r="BYA214"/>
      <c r="BYB214"/>
      <c r="BYC214"/>
      <c r="BYD214"/>
      <c r="BYE214"/>
      <c r="BYF214"/>
      <c r="BYG214"/>
      <c r="BYH214"/>
      <c r="BYI214"/>
      <c r="BYJ214"/>
      <c r="BYK214"/>
      <c r="BYL214"/>
      <c r="BYM214"/>
      <c r="BYN214"/>
      <c r="BYO214"/>
      <c r="BYP214"/>
      <c r="BYQ214"/>
      <c r="BYR214"/>
      <c r="BYS214"/>
      <c r="BYT214"/>
      <c r="BYU214"/>
      <c r="BYV214"/>
      <c r="BYW214"/>
      <c r="BYX214"/>
      <c r="BYY214"/>
      <c r="BYZ214"/>
      <c r="BZA214"/>
      <c r="BZB214"/>
      <c r="BZC214"/>
      <c r="BZD214"/>
      <c r="BZE214"/>
      <c r="BZF214"/>
      <c r="BZG214"/>
      <c r="BZH214"/>
      <c r="BZI214"/>
      <c r="BZJ214"/>
      <c r="BZK214"/>
      <c r="BZL214"/>
      <c r="BZM214"/>
      <c r="BZN214"/>
      <c r="BZO214"/>
      <c r="BZP214"/>
      <c r="BZQ214"/>
      <c r="BZR214"/>
      <c r="BZS214"/>
      <c r="BZT214"/>
      <c r="BZU214"/>
      <c r="BZV214"/>
      <c r="BZW214"/>
      <c r="BZX214"/>
      <c r="BZY214"/>
      <c r="BZZ214"/>
      <c r="CAA214"/>
      <c r="CAB214"/>
      <c r="CAC214"/>
      <c r="CAD214"/>
      <c r="CAE214"/>
      <c r="CAF214"/>
      <c r="CAG214"/>
      <c r="CAH214"/>
      <c r="CAI214"/>
      <c r="CAJ214"/>
      <c r="CAK214"/>
      <c r="CAL214"/>
      <c r="CAM214"/>
      <c r="CAN214"/>
      <c r="CAO214"/>
      <c r="CAP214"/>
      <c r="CAQ214"/>
      <c r="CAR214"/>
      <c r="CAS214"/>
      <c r="CAT214"/>
      <c r="CAU214"/>
      <c r="CAV214"/>
      <c r="CAW214"/>
      <c r="CAX214"/>
      <c r="CAY214"/>
      <c r="CAZ214"/>
      <c r="CBA214"/>
      <c r="CBB214"/>
      <c r="CBC214"/>
      <c r="CBD214"/>
      <c r="CBE214"/>
      <c r="CBF214"/>
      <c r="CBG214"/>
      <c r="CBH214"/>
      <c r="CBI214"/>
      <c r="CBJ214"/>
      <c r="CBK214"/>
      <c r="CBL214"/>
      <c r="CBM214"/>
      <c r="CBN214"/>
      <c r="CBO214"/>
      <c r="CBP214"/>
      <c r="CBQ214"/>
      <c r="CBR214"/>
      <c r="CBS214"/>
      <c r="CBT214"/>
      <c r="CBU214"/>
      <c r="CBV214"/>
      <c r="CBW214"/>
      <c r="CBX214"/>
      <c r="CBY214"/>
      <c r="CBZ214"/>
      <c r="CCA214"/>
      <c r="CCB214"/>
      <c r="CCC214"/>
      <c r="CCD214"/>
      <c r="CCE214"/>
      <c r="CCF214"/>
      <c r="CCG214"/>
      <c r="CCH214"/>
      <c r="CCI214"/>
      <c r="CCJ214"/>
      <c r="CCK214"/>
      <c r="CCL214"/>
      <c r="CCM214"/>
      <c r="CCN214"/>
      <c r="CCO214"/>
      <c r="CCP214"/>
      <c r="CCQ214"/>
      <c r="CCR214"/>
      <c r="CCS214"/>
      <c r="CCT214"/>
      <c r="CCU214"/>
      <c r="CCV214"/>
      <c r="CCW214"/>
      <c r="CCX214"/>
      <c r="CCY214"/>
      <c r="CCZ214"/>
      <c r="CDA214"/>
      <c r="CDB214"/>
      <c r="CDC214"/>
      <c r="CDD214"/>
      <c r="CDE214"/>
      <c r="CDF214"/>
      <c r="CDG214"/>
      <c r="CDH214"/>
      <c r="CDI214"/>
      <c r="CDJ214"/>
      <c r="CDK214"/>
      <c r="CDL214"/>
      <c r="CDM214"/>
      <c r="CDN214"/>
      <c r="CDO214"/>
      <c r="CDP214"/>
      <c r="CDQ214"/>
      <c r="CDR214"/>
      <c r="CDS214"/>
      <c r="CDT214"/>
      <c r="CDU214"/>
      <c r="CDV214"/>
      <c r="CDW214"/>
      <c r="CDX214"/>
      <c r="CDY214"/>
      <c r="CDZ214"/>
      <c r="CEA214"/>
      <c r="CEB214"/>
      <c r="CEC214"/>
      <c r="CED214"/>
      <c r="CEE214"/>
      <c r="CEF214"/>
      <c r="CEG214"/>
      <c r="CEH214"/>
      <c r="CEI214"/>
      <c r="CEJ214"/>
      <c r="CEK214"/>
      <c r="CEL214"/>
      <c r="CEM214"/>
      <c r="CEN214"/>
      <c r="CEO214"/>
      <c r="CEP214"/>
      <c r="CEQ214"/>
      <c r="CER214"/>
      <c r="CES214"/>
      <c r="CET214"/>
      <c r="CEU214"/>
      <c r="CEV214"/>
      <c r="CEW214"/>
      <c r="CEX214"/>
      <c r="CEY214"/>
      <c r="CEZ214"/>
      <c r="CFA214"/>
      <c r="CFB214"/>
      <c r="CFC214"/>
      <c r="CFD214"/>
      <c r="CFE214"/>
      <c r="CFF214"/>
      <c r="CFG214"/>
      <c r="CFH214"/>
      <c r="CFI214"/>
      <c r="CFJ214"/>
      <c r="CFK214"/>
      <c r="CFL214"/>
      <c r="CFM214"/>
      <c r="CFN214"/>
      <c r="CFO214"/>
      <c r="CFP214"/>
      <c r="CFQ214"/>
      <c r="CFR214"/>
      <c r="CFS214"/>
      <c r="CFT214"/>
      <c r="CFU214"/>
      <c r="CFV214"/>
      <c r="CFW214"/>
      <c r="CFX214"/>
      <c r="CFY214"/>
      <c r="CFZ214"/>
      <c r="CGA214"/>
      <c r="CGB214"/>
      <c r="CGC214"/>
      <c r="CGD214"/>
      <c r="CGE214"/>
      <c r="CGF214"/>
      <c r="CGG214"/>
      <c r="CGH214"/>
      <c r="CGI214"/>
      <c r="CGJ214"/>
      <c r="CGK214"/>
      <c r="CGL214"/>
      <c r="CGM214"/>
      <c r="CGN214"/>
      <c r="CGO214"/>
      <c r="CGP214"/>
      <c r="CGQ214"/>
      <c r="CGR214"/>
      <c r="CGS214"/>
      <c r="CGT214"/>
      <c r="CGU214"/>
      <c r="CGV214"/>
      <c r="CGW214"/>
      <c r="CGX214"/>
      <c r="CGY214"/>
      <c r="CGZ214"/>
      <c r="CHA214"/>
      <c r="CHB214"/>
      <c r="CHC214"/>
      <c r="CHD214"/>
      <c r="CHE214"/>
      <c r="CHF214"/>
      <c r="CHG214"/>
      <c r="CHH214"/>
      <c r="CHI214"/>
      <c r="CHJ214"/>
      <c r="CHK214"/>
      <c r="CHL214"/>
      <c r="CHM214"/>
      <c r="CHN214"/>
      <c r="CHO214"/>
      <c r="CHP214"/>
      <c r="CHQ214"/>
      <c r="CHR214"/>
      <c r="CHS214"/>
      <c r="CHT214"/>
      <c r="CHU214"/>
      <c r="CHV214"/>
      <c r="CHW214"/>
      <c r="CHX214"/>
      <c r="CHY214"/>
      <c r="CHZ214"/>
      <c r="CIA214"/>
      <c r="CIB214"/>
      <c r="CIC214"/>
      <c r="CID214"/>
      <c r="CIE214"/>
      <c r="CIF214"/>
      <c r="CIG214"/>
      <c r="CIH214"/>
      <c r="CII214"/>
      <c r="CIJ214"/>
      <c r="CIK214"/>
      <c r="CIL214"/>
      <c r="CIM214"/>
      <c r="CIN214"/>
      <c r="CIO214"/>
      <c r="CIP214"/>
      <c r="CIQ214"/>
      <c r="CIR214"/>
      <c r="CIS214"/>
      <c r="CIT214"/>
      <c r="CIU214"/>
      <c r="CIV214"/>
      <c r="CIW214"/>
      <c r="CIX214"/>
      <c r="CIY214"/>
      <c r="CIZ214"/>
      <c r="CJA214"/>
      <c r="CJB214"/>
      <c r="CJC214"/>
      <c r="CJD214"/>
      <c r="CJE214"/>
      <c r="CJF214"/>
      <c r="CJG214"/>
      <c r="CJH214"/>
      <c r="CJI214"/>
      <c r="CJJ214"/>
      <c r="CJK214"/>
      <c r="CJL214"/>
      <c r="CJM214"/>
      <c r="CJN214"/>
      <c r="CJO214"/>
      <c r="CJP214"/>
      <c r="CJQ214"/>
      <c r="CJR214"/>
      <c r="CJS214"/>
      <c r="CJT214"/>
      <c r="CJU214"/>
      <c r="CJV214"/>
      <c r="CJW214"/>
      <c r="CJX214"/>
      <c r="CJY214"/>
      <c r="CJZ214"/>
      <c r="CKA214"/>
      <c r="CKB214"/>
      <c r="CKC214"/>
      <c r="CKD214"/>
      <c r="CKE214"/>
      <c r="CKF214"/>
      <c r="CKG214"/>
      <c r="CKH214"/>
      <c r="CKI214"/>
      <c r="CKJ214"/>
      <c r="CKK214"/>
      <c r="CKL214"/>
      <c r="CKM214"/>
      <c r="CKN214"/>
      <c r="CKO214"/>
      <c r="CKP214"/>
      <c r="CKQ214"/>
      <c r="CKR214"/>
      <c r="CKS214"/>
      <c r="CKT214"/>
      <c r="CKU214"/>
      <c r="CKV214"/>
      <c r="CKW214"/>
      <c r="CKX214"/>
      <c r="CKY214"/>
      <c r="CKZ214"/>
      <c r="CLA214"/>
      <c r="CLB214"/>
      <c r="CLC214"/>
      <c r="CLD214"/>
      <c r="CLE214"/>
      <c r="CLF214"/>
      <c r="CLG214"/>
      <c r="CLH214"/>
      <c r="CLI214"/>
      <c r="CLJ214"/>
      <c r="CLK214"/>
      <c r="CLL214"/>
      <c r="CLM214"/>
      <c r="CLN214"/>
      <c r="CLO214"/>
      <c r="CLP214"/>
      <c r="CLQ214"/>
      <c r="CLR214"/>
      <c r="CLS214"/>
      <c r="CLT214"/>
      <c r="CLU214"/>
      <c r="CLV214"/>
      <c r="CLW214"/>
      <c r="CLX214"/>
      <c r="CLY214"/>
      <c r="CLZ214"/>
      <c r="CMA214"/>
      <c r="CMB214"/>
      <c r="CMC214"/>
      <c r="CMD214"/>
      <c r="CME214"/>
      <c r="CMF214"/>
      <c r="CMG214"/>
      <c r="CMH214"/>
      <c r="CMI214"/>
      <c r="CMJ214"/>
      <c r="CMK214"/>
      <c r="CML214"/>
      <c r="CMM214"/>
      <c r="CMN214"/>
      <c r="CMO214"/>
      <c r="CMP214"/>
      <c r="CMQ214"/>
      <c r="CMR214"/>
      <c r="CMS214"/>
      <c r="CMT214"/>
      <c r="CMU214"/>
      <c r="CMV214"/>
      <c r="CMW214"/>
      <c r="CMX214"/>
      <c r="CMY214"/>
      <c r="CMZ214"/>
      <c r="CNA214"/>
      <c r="CNB214"/>
      <c r="CNC214"/>
      <c r="CND214"/>
      <c r="CNE214"/>
      <c r="CNF214"/>
      <c r="CNG214"/>
      <c r="CNH214"/>
      <c r="CNI214"/>
      <c r="CNJ214"/>
      <c r="CNK214"/>
      <c r="CNL214"/>
      <c r="CNM214"/>
      <c r="CNN214"/>
      <c r="CNO214"/>
      <c r="CNP214"/>
      <c r="CNQ214"/>
      <c r="CNR214"/>
      <c r="CNS214"/>
      <c r="CNT214"/>
      <c r="CNU214"/>
      <c r="CNV214"/>
      <c r="CNW214"/>
      <c r="CNX214"/>
      <c r="CNY214"/>
      <c r="CNZ214"/>
      <c r="COA214"/>
      <c r="COB214"/>
      <c r="COC214"/>
      <c r="COD214"/>
      <c r="COE214"/>
      <c r="COF214"/>
      <c r="COG214"/>
      <c r="COH214"/>
      <c r="COI214"/>
      <c r="COJ214"/>
      <c r="COK214"/>
      <c r="COL214"/>
      <c r="COM214"/>
      <c r="CON214"/>
      <c r="COO214"/>
      <c r="COP214"/>
      <c r="COQ214"/>
      <c r="COR214"/>
      <c r="COS214"/>
      <c r="COT214"/>
      <c r="COU214"/>
      <c r="COV214"/>
      <c r="COW214"/>
      <c r="COX214"/>
      <c r="COY214"/>
      <c r="COZ214"/>
      <c r="CPA214"/>
      <c r="CPB214"/>
      <c r="CPC214"/>
      <c r="CPD214"/>
      <c r="CPE214"/>
      <c r="CPF214"/>
      <c r="CPG214"/>
      <c r="CPH214"/>
      <c r="CPI214"/>
      <c r="CPJ214"/>
      <c r="CPK214"/>
      <c r="CPL214"/>
      <c r="CPM214"/>
      <c r="CPN214"/>
      <c r="CPO214"/>
      <c r="CPP214"/>
      <c r="CPQ214"/>
      <c r="CPR214"/>
      <c r="CPS214"/>
      <c r="CPT214"/>
      <c r="CPU214"/>
      <c r="CPV214"/>
      <c r="CPW214"/>
      <c r="CPX214"/>
      <c r="CPY214"/>
      <c r="CPZ214"/>
      <c r="CQA214"/>
      <c r="CQB214"/>
      <c r="CQC214"/>
      <c r="CQD214"/>
      <c r="CQE214"/>
      <c r="CQF214"/>
      <c r="CQG214"/>
      <c r="CQH214"/>
      <c r="CQI214"/>
      <c r="CQJ214"/>
      <c r="CQK214"/>
      <c r="CQL214"/>
      <c r="CQM214"/>
      <c r="CQN214"/>
      <c r="CQO214"/>
      <c r="CQP214"/>
      <c r="CQQ214"/>
      <c r="CQR214"/>
      <c r="CQS214"/>
      <c r="CQT214"/>
      <c r="CQU214"/>
      <c r="CQV214"/>
      <c r="CQW214"/>
      <c r="CQX214"/>
      <c r="CQY214"/>
      <c r="CQZ214"/>
      <c r="CRA214"/>
      <c r="CRB214"/>
      <c r="CRC214"/>
      <c r="CRD214"/>
      <c r="CRE214"/>
      <c r="CRF214"/>
      <c r="CRG214"/>
      <c r="CRH214"/>
      <c r="CRI214"/>
      <c r="CRJ214"/>
      <c r="CRK214"/>
      <c r="CRL214"/>
      <c r="CRM214"/>
    </row>
    <row r="215" spans="1:2509" ht="15" thickBot="1" x14ac:dyDescent="0.4">
      <c r="A215" s="307"/>
      <c r="B215" s="52" t="s">
        <v>187</v>
      </c>
      <c r="C215" s="21">
        <v>0</v>
      </c>
      <c r="D215" s="110">
        <v>83.399699999999996</v>
      </c>
      <c r="E215" s="110">
        <v>135.51</v>
      </c>
      <c r="F215" s="110">
        <v>170.83099999999999</v>
      </c>
      <c r="G215" s="110">
        <v>191.804</v>
      </c>
      <c r="H215" s="110">
        <v>202.81700000000001</v>
      </c>
      <c r="I215" s="110">
        <v>205.61500000000001</v>
      </c>
      <c r="J215" s="110">
        <v>205.61500000000001</v>
      </c>
      <c r="K215" s="110">
        <v>205.61500000000001</v>
      </c>
      <c r="L215" s="110">
        <v>205.61500000000001</v>
      </c>
      <c r="M215" s="110">
        <v>205.61500000000001</v>
      </c>
      <c r="N215" s="110">
        <v>205.61500000000001</v>
      </c>
      <c r="O215" s="110">
        <v>205.61500000000001</v>
      </c>
      <c r="P215" s="110">
        <v>205.61500000000001</v>
      </c>
      <c r="Q215" s="110">
        <v>205.61500000000001</v>
      </c>
      <c r="R215" s="77">
        <v>205.61500000000001</v>
      </c>
      <c r="S215" s="77">
        <v>205.61500000000001</v>
      </c>
      <c r="T215" s="77"/>
      <c r="U215" s="77"/>
      <c r="V215" s="77"/>
      <c r="W215" s="77"/>
      <c r="X215" s="77"/>
      <c r="Y215" s="77"/>
      <c r="Z215" s="77"/>
      <c r="AA215" s="77"/>
      <c r="AB215" s="77"/>
      <c r="AC215" s="77"/>
      <c r="AD215" s="77"/>
      <c r="AE215" s="77"/>
      <c r="AF215" s="77"/>
      <c r="AG215" s="77"/>
      <c r="AH215" s="77"/>
      <c r="AI215" s="77"/>
      <c r="AJ215" s="77"/>
      <c r="AK215" s="78"/>
    </row>
    <row r="216" spans="1:2509" ht="15" thickBot="1" x14ac:dyDescent="0.4">
      <c r="A216" s="307"/>
      <c r="B216" s="101" t="s">
        <v>188</v>
      </c>
      <c r="C216" s="117">
        <v>2800</v>
      </c>
    </row>
    <row r="217" spans="1:2509" x14ac:dyDescent="0.35">
      <c r="A217" s="307"/>
      <c r="B217" s="52" t="s">
        <v>689</v>
      </c>
      <c r="C217" s="18">
        <v>0</v>
      </c>
      <c r="D217" s="18">
        <v>400</v>
      </c>
      <c r="E217" s="18">
        <v>800</v>
      </c>
      <c r="F217" s="18">
        <v>1200</v>
      </c>
      <c r="G217" s="18">
        <v>1600</v>
      </c>
      <c r="H217" s="18">
        <v>2000</v>
      </c>
      <c r="I217" s="18">
        <v>2400</v>
      </c>
      <c r="J217" s="18">
        <v>2800</v>
      </c>
      <c r="K217" s="18"/>
      <c r="L217" s="18"/>
      <c r="M217" s="18"/>
      <c r="N217" s="18"/>
      <c r="O217" s="18"/>
      <c r="P217" s="18"/>
      <c r="Q217" s="18"/>
      <c r="R217" s="104"/>
      <c r="S217" s="104"/>
      <c r="T217" s="104"/>
      <c r="U217" s="104"/>
      <c r="V217" s="104"/>
      <c r="W217" s="104"/>
      <c r="X217" s="104"/>
      <c r="Y217" s="104"/>
      <c r="Z217" s="104"/>
      <c r="AA217" s="104"/>
      <c r="AB217" s="104"/>
      <c r="AC217" s="104"/>
      <c r="AD217" s="104"/>
      <c r="AE217" s="104"/>
      <c r="AF217" s="104"/>
      <c r="AG217" s="104"/>
      <c r="AH217" s="104"/>
      <c r="AI217" s="104"/>
      <c r="AJ217" s="104"/>
      <c r="AK217" s="105"/>
      <c r="AL217" s="106"/>
      <c r="AM217" s="107"/>
    </row>
    <row r="218" spans="1:2509" ht="15" thickBot="1" x14ac:dyDescent="0.4">
      <c r="A218" s="307"/>
      <c r="B218" s="52" t="s">
        <v>189</v>
      </c>
      <c r="C218" s="21">
        <v>0</v>
      </c>
      <c r="D218" s="110">
        <v>0</v>
      </c>
      <c r="E218" s="110">
        <v>0</v>
      </c>
      <c r="F218" s="110">
        <v>0</v>
      </c>
      <c r="G218" s="110">
        <v>35.983199999999997</v>
      </c>
      <c r="H218" s="110">
        <v>35.983199999999997</v>
      </c>
      <c r="I218" s="110">
        <v>35.983199999999997</v>
      </c>
      <c r="J218" s="110">
        <v>35.983199999999997</v>
      </c>
      <c r="K218" s="110"/>
      <c r="L218" s="110"/>
      <c r="M218" s="110"/>
      <c r="N218" s="110"/>
      <c r="O218" s="110"/>
      <c r="P218" s="110"/>
      <c r="Q218" s="110"/>
      <c r="R218" s="77"/>
      <c r="S218" s="77"/>
      <c r="T218" s="77"/>
      <c r="U218" s="77"/>
      <c r="V218" s="77"/>
      <c r="W218" s="77"/>
      <c r="X218" s="77"/>
      <c r="Y218" s="77"/>
      <c r="Z218" s="77"/>
      <c r="AA218" s="77"/>
      <c r="AB218" s="77"/>
      <c r="AC218" s="77"/>
      <c r="AD218" s="77"/>
      <c r="AE218" s="77"/>
      <c r="AF218" s="77"/>
      <c r="AG218" s="77"/>
      <c r="AH218" s="77"/>
      <c r="AI218" s="77"/>
      <c r="AJ218" s="77"/>
      <c r="AK218" s="78"/>
    </row>
    <row r="219" spans="1:2509" ht="15" thickBot="1" x14ac:dyDescent="0.4">
      <c r="A219" s="307"/>
      <c r="B219" s="101" t="s">
        <v>190</v>
      </c>
      <c r="C219" s="30">
        <v>13000</v>
      </c>
    </row>
    <row r="220" spans="1:2509" ht="15" thickBot="1" x14ac:dyDescent="0.4">
      <c r="A220" s="307"/>
      <c r="B220" s="101" t="s">
        <v>191</v>
      </c>
      <c r="C220" s="124">
        <v>0.25</v>
      </c>
    </row>
    <row r="221" spans="1:2509" x14ac:dyDescent="0.35">
      <c r="A221" s="307"/>
      <c r="B221" s="52" t="s">
        <v>690</v>
      </c>
      <c r="C221" s="18">
        <v>0</v>
      </c>
      <c r="D221" s="18">
        <v>500</v>
      </c>
      <c r="E221" s="18">
        <v>1000</v>
      </c>
      <c r="F221" s="18">
        <v>1500</v>
      </c>
      <c r="G221" s="18">
        <v>2000</v>
      </c>
      <c r="H221" s="18">
        <v>2500</v>
      </c>
      <c r="I221" s="18">
        <v>3000</v>
      </c>
      <c r="J221" s="18">
        <v>3500</v>
      </c>
      <c r="K221" s="18">
        <v>4000</v>
      </c>
      <c r="L221" s="18">
        <v>4500</v>
      </c>
      <c r="M221" s="18">
        <v>5000</v>
      </c>
      <c r="N221" s="18">
        <v>5500</v>
      </c>
      <c r="O221" s="18">
        <v>6000</v>
      </c>
      <c r="P221" s="18">
        <v>6500</v>
      </c>
      <c r="Q221" s="18">
        <v>7000</v>
      </c>
      <c r="R221" s="104">
        <v>7500</v>
      </c>
      <c r="S221" s="104">
        <v>8000</v>
      </c>
      <c r="T221" s="104">
        <v>8500</v>
      </c>
      <c r="U221" s="104">
        <v>9000</v>
      </c>
      <c r="V221" s="104">
        <v>9500</v>
      </c>
      <c r="W221" s="104">
        <v>10000</v>
      </c>
      <c r="X221" s="104">
        <v>10500</v>
      </c>
      <c r="Y221" s="104">
        <v>11000</v>
      </c>
      <c r="Z221" s="104">
        <v>11500</v>
      </c>
      <c r="AA221" s="104">
        <v>12000</v>
      </c>
      <c r="AB221" s="104">
        <v>12500</v>
      </c>
      <c r="AC221" s="104">
        <v>13000</v>
      </c>
      <c r="AD221" s="104"/>
      <c r="AE221" s="104"/>
      <c r="AF221" s="104"/>
      <c r="AG221" s="104"/>
      <c r="AH221" s="104"/>
      <c r="AI221" s="104"/>
      <c r="AJ221" s="104"/>
      <c r="AK221" s="105"/>
      <c r="AL221" s="106"/>
      <c r="AM221" s="107"/>
    </row>
    <row r="222" spans="1:2509" ht="15" thickBot="1" x14ac:dyDescent="0.4">
      <c r="A222" s="307"/>
      <c r="B222" s="52" t="s">
        <v>192</v>
      </c>
      <c r="C222" s="21">
        <v>0</v>
      </c>
      <c r="D222" s="110">
        <v>23.86208767023</v>
      </c>
      <c r="E222" s="110">
        <v>44.631010205819997</v>
      </c>
      <c r="F222" s="110">
        <v>62.30666199473999</v>
      </c>
      <c r="G222" s="110">
        <v>77.77291011605999</v>
      </c>
      <c r="H222" s="110">
        <v>93.889094670000006</v>
      </c>
      <c r="I222" s="110">
        <v>107.8214336676</v>
      </c>
      <c r="J222" s="110">
        <v>119.75242469669998</v>
      </c>
      <c r="K222" s="110">
        <v>129.03255377280001</v>
      </c>
      <c r="L222" s="110">
        <v>137.87016844320001</v>
      </c>
      <c r="M222" s="110">
        <v>144.16042095</v>
      </c>
      <c r="N222" s="110">
        <v>148.91718678119997</v>
      </c>
      <c r="O222" s="110">
        <v>151.78032891450002</v>
      </c>
      <c r="P222" s="110">
        <v>152.89453583099998</v>
      </c>
      <c r="Q222" s="110">
        <v>152.89453583099998</v>
      </c>
      <c r="R222" s="77">
        <v>152.89453583099998</v>
      </c>
      <c r="S222" s="77">
        <v>152.89453583099998</v>
      </c>
      <c r="T222" s="77">
        <v>152.89453583099998</v>
      </c>
      <c r="U222" s="77">
        <v>152.89453583099998</v>
      </c>
      <c r="V222" s="77">
        <v>152.89453583099998</v>
      </c>
      <c r="W222" s="77">
        <v>152.89453583099998</v>
      </c>
      <c r="X222" s="77">
        <v>152.89453583099998</v>
      </c>
      <c r="Y222" s="77">
        <v>152.89453583099998</v>
      </c>
      <c r="Z222" s="77">
        <v>152.89453583099998</v>
      </c>
      <c r="AA222" s="77">
        <v>152.89453583099998</v>
      </c>
      <c r="AB222" s="77">
        <v>152.89453583099998</v>
      </c>
      <c r="AC222" s="77">
        <v>152.89453583099998</v>
      </c>
      <c r="AD222" s="77"/>
      <c r="AE222" s="77"/>
      <c r="AF222" s="77"/>
      <c r="AG222" s="77"/>
      <c r="AH222" s="77"/>
      <c r="AI222" s="77"/>
      <c r="AJ222" s="77"/>
      <c r="AK222" s="78"/>
      <c r="AL222" s="106"/>
      <c r="AM222" s="107"/>
    </row>
    <row r="223" spans="1:2509" ht="15" thickBot="1" x14ac:dyDescent="0.4">
      <c r="A223" s="307"/>
      <c r="B223" s="101" t="s">
        <v>193</v>
      </c>
      <c r="C223" s="30">
        <v>20000</v>
      </c>
    </row>
    <row r="224" spans="1:2509" ht="15" thickBot="1" x14ac:dyDescent="0.4">
      <c r="A224" s="307"/>
      <c r="B224" s="101" t="s">
        <v>194</v>
      </c>
      <c r="C224" s="129">
        <f>40/150</f>
        <v>0.26666666666666666</v>
      </c>
    </row>
    <row r="225" spans="1:2509" x14ac:dyDescent="0.35">
      <c r="A225" s="307"/>
      <c r="B225" s="52" t="s">
        <v>691</v>
      </c>
      <c r="C225" s="18">
        <v>0</v>
      </c>
      <c r="D225" s="18">
        <v>1000</v>
      </c>
      <c r="E225" s="18">
        <v>2000</v>
      </c>
      <c r="F225" s="18">
        <v>3000</v>
      </c>
      <c r="G225" s="18">
        <v>4000</v>
      </c>
      <c r="H225" s="18">
        <v>5000</v>
      </c>
      <c r="I225" s="18">
        <v>6000</v>
      </c>
      <c r="J225" s="18">
        <v>7000</v>
      </c>
      <c r="K225" s="18">
        <v>8000</v>
      </c>
      <c r="L225" s="18">
        <v>9000</v>
      </c>
      <c r="M225" s="18">
        <v>10000</v>
      </c>
      <c r="N225" s="18">
        <v>11000</v>
      </c>
      <c r="O225" s="18">
        <v>12000</v>
      </c>
      <c r="P225" s="18">
        <v>13000</v>
      </c>
      <c r="Q225" s="18">
        <v>14000</v>
      </c>
      <c r="R225" s="104">
        <v>15000</v>
      </c>
      <c r="S225" s="104">
        <v>16000</v>
      </c>
      <c r="T225" s="104">
        <v>17000</v>
      </c>
      <c r="U225" s="104">
        <v>18000</v>
      </c>
      <c r="V225" s="104">
        <v>19000</v>
      </c>
      <c r="W225" s="104">
        <v>20000</v>
      </c>
      <c r="X225" s="104"/>
      <c r="Y225" s="104"/>
      <c r="Z225" s="104"/>
      <c r="AA225" s="104"/>
      <c r="AB225" s="104"/>
      <c r="AC225" s="104"/>
      <c r="AD225" s="104"/>
      <c r="AE225" s="104"/>
      <c r="AF225" s="104"/>
      <c r="AG225" s="104"/>
      <c r="AH225" s="104"/>
      <c r="AI225" s="104"/>
      <c r="AJ225" s="104"/>
      <c r="AK225" s="105"/>
    </row>
    <row r="226" spans="1:2509" ht="15" thickBot="1" x14ac:dyDescent="0.4">
      <c r="A226" s="307"/>
      <c r="B226" s="52" t="s">
        <v>195</v>
      </c>
      <c r="C226" s="21">
        <v>0</v>
      </c>
      <c r="D226" s="110">
        <v>27.4739</v>
      </c>
      <c r="E226" s="110">
        <v>42.104100000000003</v>
      </c>
      <c r="F226" s="110">
        <v>51.274500000000003</v>
      </c>
      <c r="G226" s="110">
        <v>58.121499999999997</v>
      </c>
      <c r="H226" s="110">
        <v>69.372600000000006</v>
      </c>
      <c r="I226" s="110">
        <v>79.5334</v>
      </c>
      <c r="J226" s="110">
        <v>99.163600000000002</v>
      </c>
      <c r="K226" s="110">
        <v>115.575</v>
      </c>
      <c r="L226" s="110">
        <v>128.798</v>
      </c>
      <c r="M226" s="110">
        <v>138.387</v>
      </c>
      <c r="N226" s="110">
        <v>147.465</v>
      </c>
      <c r="O226" s="110">
        <v>150.75299999999999</v>
      </c>
      <c r="P226" s="110">
        <v>157.00800000000001</v>
      </c>
      <c r="Q226" s="110">
        <v>159.24700000000001</v>
      </c>
      <c r="R226" s="77">
        <v>159.24700000000001</v>
      </c>
      <c r="S226" s="77">
        <v>159.24700000000001</v>
      </c>
      <c r="T226" s="77">
        <v>159.24700000000001</v>
      </c>
      <c r="U226" s="77">
        <v>159.24700000000001</v>
      </c>
      <c r="V226" s="77">
        <v>159.24700000000001</v>
      </c>
      <c r="W226" s="77">
        <v>159.24700000000001</v>
      </c>
      <c r="X226" s="77"/>
      <c r="Y226" s="77"/>
      <c r="Z226" s="77"/>
      <c r="AA226" s="77"/>
      <c r="AB226" s="77"/>
      <c r="AC226" s="77"/>
      <c r="AD226" s="77"/>
      <c r="AE226" s="77"/>
      <c r="AF226" s="77"/>
      <c r="AG226" s="77"/>
      <c r="AH226" s="77"/>
      <c r="AI226" s="77"/>
      <c r="AJ226" s="77"/>
      <c r="AK226" s="78"/>
    </row>
    <row r="227" spans="1:2509" ht="15" thickBot="1" x14ac:dyDescent="0.4">
      <c r="A227" s="307"/>
      <c r="B227" s="101" t="s">
        <v>196</v>
      </c>
      <c r="C227" s="17">
        <v>12957.683878779993</v>
      </c>
      <c r="Y227" s="122"/>
      <c r="Z227" s="122"/>
      <c r="AA227" s="122"/>
      <c r="AB227" s="122"/>
      <c r="AC227" s="122"/>
      <c r="AD227" s="122"/>
    </row>
    <row r="228" spans="1:2509" ht="15" thickBot="1" x14ac:dyDescent="0.4">
      <c r="A228" s="307"/>
      <c r="B228" s="101" t="s">
        <v>197</v>
      </c>
      <c r="C228" s="124">
        <v>0.25</v>
      </c>
      <c r="Y228" s="122"/>
      <c r="Z228" s="122"/>
      <c r="AA228" s="122"/>
      <c r="AB228" s="122"/>
      <c r="AC228" s="122"/>
      <c r="AD228" s="122"/>
    </row>
    <row r="229" spans="1:2509" x14ac:dyDescent="0.35">
      <c r="A229" s="307"/>
      <c r="B229" s="52" t="s">
        <v>692</v>
      </c>
      <c r="C229" s="18">
        <v>12957.683878779993</v>
      </c>
      <c r="D229" s="18">
        <v>6322.0236701599952</v>
      </c>
      <c r="E229" s="18">
        <v>5703.3412921599956</v>
      </c>
      <c r="F229" s="18">
        <v>4949.3832961599965</v>
      </c>
      <c r="G229" s="18">
        <v>4515.1628081599974</v>
      </c>
      <c r="H229" s="18">
        <v>3965.0471631599976</v>
      </c>
      <c r="I229" s="18">
        <v>3454.0009381599994</v>
      </c>
      <c r="J229" s="18">
        <v>2986.5426831599998</v>
      </c>
      <c r="K229" s="18">
        <v>2564.9709461599996</v>
      </c>
      <c r="L229" s="18">
        <v>2189.6122293600001</v>
      </c>
      <c r="M229" s="18">
        <v>1859.1868947600015</v>
      </c>
      <c r="N229" s="18">
        <v>1639.400436760001</v>
      </c>
      <c r="O229" s="18">
        <v>1381.1630309600023</v>
      </c>
      <c r="P229" s="18">
        <v>1159.355480860002</v>
      </c>
      <c r="Q229" s="18">
        <v>847.24393426000279</v>
      </c>
      <c r="R229" s="104">
        <v>614.65393996000239</v>
      </c>
      <c r="S229" s="104">
        <v>403.66455256000336</v>
      </c>
      <c r="T229" s="104">
        <v>228.25009646000217</v>
      </c>
      <c r="U229" s="104">
        <v>0</v>
      </c>
      <c r="V229" s="104"/>
      <c r="Y229" s="122"/>
      <c r="Z229" s="122"/>
      <c r="AA229" s="122"/>
      <c r="AB229" s="122"/>
      <c r="AC229" s="122"/>
      <c r="AD229" s="122"/>
    </row>
    <row r="230" spans="1:2509" ht="15" thickBot="1" x14ac:dyDescent="0.4">
      <c r="A230" s="307"/>
      <c r="B230" s="52" t="s">
        <v>198</v>
      </c>
      <c r="C230" s="21">
        <v>155.353846</v>
      </c>
      <c r="D230" s="110">
        <v>155.353846</v>
      </c>
      <c r="E230" s="110">
        <v>153.89864</v>
      </c>
      <c r="F230" s="110">
        <v>148.170143</v>
      </c>
      <c r="G230" s="110">
        <v>142.88566499999999</v>
      </c>
      <c r="H230" s="110">
        <v>134.09320600000001</v>
      </c>
      <c r="I230" s="110">
        <v>123.81253</v>
      </c>
      <c r="J230" s="110">
        <v>112.616339</v>
      </c>
      <c r="K230" s="110">
        <v>101.04268399999999</v>
      </c>
      <c r="L230" s="110">
        <v>89.553571000000005</v>
      </c>
      <c r="M230" s="110">
        <v>78.512607700000004</v>
      </c>
      <c r="N230" s="110">
        <v>70.686079199999995</v>
      </c>
      <c r="O230" s="110">
        <v>60.996265000000001</v>
      </c>
      <c r="P230" s="110">
        <v>52.246102</v>
      </c>
      <c r="Q230" s="110">
        <v>39.262719300000001</v>
      </c>
      <c r="R230" s="77">
        <v>29.075837499999999</v>
      </c>
      <c r="S230" s="77">
        <v>19.456068500000001</v>
      </c>
      <c r="T230" s="77">
        <v>11.1831947</v>
      </c>
      <c r="U230" s="77">
        <v>0</v>
      </c>
      <c r="V230" s="77"/>
      <c r="Y230" s="122"/>
      <c r="Z230" s="122"/>
      <c r="AA230" s="122"/>
      <c r="AB230" s="122"/>
      <c r="AC230" s="122"/>
      <c r="AD230" s="122"/>
    </row>
    <row r="231" spans="1:2509" s="12" customFormat="1" ht="15" thickBot="1" x14ac:dyDescent="0.4">
      <c r="B231" s="98" t="s">
        <v>199</v>
      </c>
      <c r="C231" s="100"/>
      <c r="D231" s="100"/>
      <c r="E231" s="27"/>
      <c r="F231" s="27"/>
      <c r="G231" s="27"/>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c r="LQ231"/>
      <c r="LR231"/>
      <c r="LS231"/>
      <c r="LT231"/>
      <c r="LU231"/>
      <c r="LV231"/>
      <c r="LW231"/>
      <c r="LX231"/>
      <c r="LY231"/>
      <c r="LZ231"/>
      <c r="MA231"/>
      <c r="MB231"/>
      <c r="MC231"/>
      <c r="MD231"/>
      <c r="ME231"/>
      <c r="MF231"/>
      <c r="MG231"/>
      <c r="MH231"/>
      <c r="MI231"/>
      <c r="MJ231"/>
      <c r="MK231"/>
      <c r="ML231"/>
      <c r="MM231"/>
      <c r="MN231"/>
      <c r="MO231"/>
      <c r="MP231"/>
      <c r="MQ231"/>
      <c r="MR231"/>
      <c r="MS231"/>
      <c r="MT231"/>
      <c r="MU231"/>
      <c r="MV231"/>
      <c r="MW231"/>
      <c r="MX231"/>
      <c r="MY231"/>
      <c r="MZ231"/>
      <c r="NA231"/>
      <c r="NB231"/>
      <c r="NC231"/>
      <c r="ND231"/>
      <c r="NE231"/>
      <c r="NF231"/>
      <c r="NG231"/>
      <c r="NH231"/>
      <c r="NI231"/>
      <c r="NJ231"/>
      <c r="NK231"/>
      <c r="NL231"/>
      <c r="NM231"/>
      <c r="NN231"/>
      <c r="NO231"/>
      <c r="NP231"/>
      <c r="NQ231"/>
      <c r="NR231"/>
      <c r="NS231"/>
      <c r="NT231"/>
      <c r="NU231"/>
      <c r="NV231"/>
      <c r="NW231"/>
      <c r="NX231"/>
      <c r="NY231"/>
      <c r="NZ231"/>
      <c r="OA231"/>
      <c r="OB231"/>
      <c r="OC231"/>
      <c r="OD231"/>
      <c r="OE231"/>
      <c r="OF231"/>
      <c r="OG231"/>
      <c r="OH231"/>
      <c r="OI231"/>
      <c r="OJ231"/>
      <c r="OK231"/>
      <c r="OL231"/>
      <c r="OM231"/>
      <c r="ON231"/>
      <c r="OO231"/>
      <c r="OP231"/>
      <c r="OQ231"/>
      <c r="OR231"/>
      <c r="OS231"/>
      <c r="OT231"/>
      <c r="OU231"/>
      <c r="OV231"/>
      <c r="OW231"/>
      <c r="OX231"/>
      <c r="OY231"/>
      <c r="OZ231"/>
      <c r="PA231"/>
      <c r="PB231"/>
      <c r="PC231"/>
      <c r="PD231"/>
      <c r="PE231"/>
      <c r="PF231"/>
      <c r="PG231"/>
      <c r="PH231"/>
      <c r="PI231"/>
      <c r="PJ231"/>
      <c r="PK231"/>
      <c r="PL231"/>
      <c r="PM231"/>
      <c r="PN231"/>
      <c r="PO231"/>
      <c r="PP231"/>
      <c r="PQ231"/>
      <c r="PR231"/>
      <c r="PS231"/>
      <c r="PT231"/>
      <c r="PU231"/>
      <c r="PV231"/>
      <c r="PW231"/>
      <c r="PX231"/>
      <c r="PY231"/>
      <c r="PZ231"/>
      <c r="QA231"/>
      <c r="QB231"/>
      <c r="QC231"/>
      <c r="QD231"/>
      <c r="QE231"/>
      <c r="QF231"/>
      <c r="QG231"/>
      <c r="QH231"/>
      <c r="QI231"/>
      <c r="QJ231"/>
      <c r="QK231"/>
      <c r="QL231"/>
      <c r="QM231"/>
      <c r="QN231"/>
      <c r="QO231"/>
      <c r="QP231"/>
      <c r="QQ231"/>
      <c r="QR231"/>
      <c r="QS231"/>
      <c r="QT231"/>
      <c r="QU231"/>
      <c r="QV231"/>
      <c r="QW231"/>
      <c r="QX231"/>
      <c r="QY231"/>
      <c r="QZ231"/>
      <c r="RA231"/>
      <c r="RB231"/>
      <c r="RC231"/>
      <c r="RD231"/>
      <c r="RE231"/>
      <c r="RF231"/>
      <c r="RG231"/>
      <c r="RH231"/>
      <c r="RI231"/>
      <c r="RJ231"/>
      <c r="RK231"/>
      <c r="RL231"/>
      <c r="RM231"/>
      <c r="RN231"/>
      <c r="RO231"/>
      <c r="RP231"/>
      <c r="RQ231"/>
      <c r="RR231"/>
      <c r="RS231"/>
      <c r="RT231"/>
      <c r="RU231"/>
      <c r="RV231"/>
      <c r="RW231"/>
      <c r="RX231"/>
      <c r="RY231"/>
      <c r="RZ231"/>
      <c r="SA231"/>
      <c r="SB231"/>
      <c r="SC231"/>
      <c r="SD231"/>
      <c r="SE231"/>
      <c r="SF231"/>
      <c r="SG231"/>
      <c r="SH231"/>
      <c r="SI231"/>
      <c r="SJ231"/>
      <c r="SK231"/>
      <c r="SL231"/>
      <c r="SM231"/>
      <c r="SN231"/>
      <c r="SO231"/>
      <c r="SP231"/>
      <c r="SQ231"/>
      <c r="SR231"/>
      <c r="SS231"/>
      <c r="ST231"/>
      <c r="SU231"/>
      <c r="SV231"/>
      <c r="SW231"/>
      <c r="SX231"/>
      <c r="SY231"/>
      <c r="SZ231"/>
      <c r="TA231"/>
      <c r="TB231"/>
      <c r="TC231"/>
      <c r="TD231"/>
      <c r="TE231"/>
      <c r="TF231"/>
      <c r="TG231"/>
      <c r="TH231"/>
      <c r="TI231"/>
      <c r="TJ231"/>
      <c r="TK231"/>
      <c r="TL231"/>
      <c r="TM231"/>
      <c r="TN231"/>
      <c r="TO231"/>
      <c r="TP231"/>
      <c r="TQ231"/>
      <c r="TR231"/>
      <c r="TS231"/>
      <c r="TT231"/>
      <c r="TU231"/>
      <c r="TV231"/>
      <c r="TW231"/>
      <c r="TX231"/>
      <c r="TY231"/>
      <c r="TZ231"/>
      <c r="UA231"/>
      <c r="UB231"/>
      <c r="UC231"/>
      <c r="UD231"/>
      <c r="UE231"/>
      <c r="UF231"/>
      <c r="UG231"/>
      <c r="UH231"/>
      <c r="UI231"/>
      <c r="UJ231"/>
      <c r="UK231"/>
      <c r="UL231"/>
      <c r="UM231"/>
      <c r="UN231"/>
      <c r="UO231"/>
      <c r="UP231"/>
      <c r="UQ231"/>
      <c r="UR231"/>
      <c r="US231"/>
      <c r="UT231"/>
      <c r="UU231"/>
      <c r="UV231"/>
      <c r="UW231"/>
      <c r="UX231"/>
      <c r="UY231"/>
      <c r="UZ231"/>
      <c r="VA231"/>
      <c r="VB231"/>
      <c r="VC231"/>
      <c r="VD231"/>
      <c r="VE231"/>
      <c r="VF231"/>
      <c r="VG231"/>
      <c r="VH231"/>
      <c r="VI231"/>
      <c r="VJ231"/>
      <c r="VK231"/>
      <c r="VL231"/>
      <c r="VM231"/>
      <c r="VN231"/>
      <c r="VO231"/>
      <c r="VP231"/>
      <c r="VQ231"/>
      <c r="VR231"/>
      <c r="VS231"/>
      <c r="VT231"/>
      <c r="VU231"/>
      <c r="VV231"/>
      <c r="VW231"/>
      <c r="VX231"/>
      <c r="VY231"/>
      <c r="VZ231"/>
      <c r="WA231"/>
      <c r="WB231"/>
      <c r="WC231"/>
      <c r="WD231"/>
      <c r="WE231"/>
      <c r="WF231"/>
      <c r="WG231"/>
      <c r="WH231"/>
      <c r="WI231"/>
      <c r="WJ231"/>
      <c r="WK231"/>
      <c r="WL231"/>
      <c r="WM231"/>
      <c r="WN231"/>
      <c r="WO231"/>
      <c r="WP231"/>
      <c r="WQ231"/>
      <c r="WR231"/>
      <c r="WS231"/>
      <c r="WT231"/>
      <c r="WU231"/>
      <c r="WV231"/>
      <c r="WW231"/>
      <c r="WX231"/>
      <c r="WY231"/>
      <c r="WZ231"/>
      <c r="XA231"/>
      <c r="XB231"/>
      <c r="XC231"/>
      <c r="XD231"/>
      <c r="XE231"/>
      <c r="XF231"/>
      <c r="XG231"/>
      <c r="XH231"/>
      <c r="XI231"/>
      <c r="XJ231"/>
      <c r="XK231"/>
      <c r="XL231"/>
      <c r="XM231"/>
      <c r="XN231"/>
      <c r="XO231"/>
      <c r="XP231"/>
      <c r="XQ231"/>
      <c r="XR231"/>
      <c r="XS231"/>
      <c r="XT231"/>
      <c r="XU231"/>
      <c r="XV231"/>
      <c r="XW231"/>
      <c r="XX231"/>
      <c r="XY231"/>
      <c r="XZ231"/>
      <c r="YA231"/>
      <c r="YB231"/>
      <c r="YC231"/>
      <c r="YD231"/>
      <c r="YE231"/>
      <c r="YF231"/>
      <c r="YG231"/>
      <c r="YH231"/>
      <c r="YI231"/>
      <c r="YJ231"/>
      <c r="YK231"/>
      <c r="YL231"/>
      <c r="YM231"/>
      <c r="YN231"/>
      <c r="YO231"/>
      <c r="YP231"/>
      <c r="YQ231"/>
      <c r="YR231"/>
      <c r="YS231"/>
      <c r="YT231"/>
      <c r="YU231"/>
      <c r="YV231"/>
      <c r="YW231"/>
      <c r="YX231"/>
      <c r="YY231"/>
      <c r="YZ231"/>
      <c r="ZA231"/>
      <c r="ZB231"/>
      <c r="ZC231"/>
      <c r="ZD231"/>
      <c r="ZE231"/>
      <c r="ZF231"/>
      <c r="ZG231"/>
      <c r="ZH231"/>
      <c r="ZI231"/>
      <c r="ZJ231"/>
      <c r="ZK231"/>
      <c r="ZL231"/>
      <c r="ZM231"/>
      <c r="ZN231"/>
      <c r="ZO231"/>
      <c r="ZP231"/>
      <c r="ZQ231"/>
      <c r="ZR231"/>
      <c r="ZS231"/>
      <c r="ZT231"/>
      <c r="ZU231"/>
      <c r="ZV231"/>
      <c r="ZW231"/>
      <c r="ZX231"/>
      <c r="ZY231"/>
      <c r="ZZ231"/>
      <c r="AAA231"/>
      <c r="AAB231"/>
      <c r="AAC231"/>
      <c r="AAD231"/>
      <c r="AAE231"/>
      <c r="AAF231"/>
      <c r="AAG231"/>
      <c r="AAH231"/>
      <c r="AAI231"/>
      <c r="AAJ231"/>
      <c r="AAK231"/>
      <c r="AAL231"/>
      <c r="AAM231"/>
      <c r="AAN231"/>
      <c r="AAO231"/>
      <c r="AAP231"/>
      <c r="AAQ231"/>
      <c r="AAR231"/>
      <c r="AAS231"/>
      <c r="AAT231"/>
      <c r="AAU231"/>
      <c r="AAV231"/>
      <c r="AAW231"/>
      <c r="AAX231"/>
      <c r="AAY231"/>
      <c r="AAZ231"/>
      <c r="ABA231"/>
      <c r="ABB231"/>
      <c r="ABC231"/>
      <c r="ABD231"/>
      <c r="ABE231"/>
      <c r="ABF231"/>
      <c r="ABG231"/>
      <c r="ABH231"/>
      <c r="ABI231"/>
      <c r="ABJ231"/>
      <c r="ABK231"/>
      <c r="ABL231"/>
      <c r="ABM231"/>
      <c r="ABN231"/>
      <c r="ABO231"/>
      <c r="ABP231"/>
      <c r="ABQ231"/>
      <c r="ABR231"/>
      <c r="ABS231"/>
      <c r="ABT231"/>
      <c r="ABU231"/>
      <c r="ABV231"/>
      <c r="ABW231"/>
      <c r="ABX231"/>
      <c r="ABY231"/>
      <c r="ABZ231"/>
      <c r="ACA231"/>
      <c r="ACB231"/>
      <c r="ACC231"/>
      <c r="ACD231"/>
      <c r="ACE231"/>
      <c r="ACF231"/>
      <c r="ACG231"/>
      <c r="ACH231"/>
      <c r="ACI231"/>
      <c r="ACJ231"/>
      <c r="ACK231"/>
      <c r="ACL231"/>
      <c r="ACM231"/>
      <c r="ACN231"/>
      <c r="ACO231"/>
      <c r="ACP231"/>
      <c r="ACQ231"/>
      <c r="ACR231"/>
      <c r="ACS231"/>
      <c r="ACT231"/>
      <c r="ACU231"/>
      <c r="ACV231"/>
      <c r="ACW231"/>
      <c r="ACX231"/>
      <c r="ACY231"/>
      <c r="ACZ231"/>
      <c r="ADA231"/>
      <c r="ADB231"/>
      <c r="ADC231"/>
      <c r="ADD231"/>
      <c r="ADE231"/>
      <c r="ADF231"/>
      <c r="ADG231"/>
      <c r="ADH231"/>
      <c r="ADI231"/>
      <c r="ADJ231"/>
      <c r="ADK231"/>
      <c r="ADL231"/>
      <c r="ADM231"/>
      <c r="ADN231"/>
      <c r="ADO231"/>
      <c r="ADP231"/>
      <c r="ADQ231"/>
      <c r="ADR231"/>
      <c r="ADS231"/>
      <c r="ADT231"/>
      <c r="ADU231"/>
      <c r="ADV231"/>
      <c r="ADW231"/>
      <c r="ADX231"/>
      <c r="ADY231"/>
      <c r="ADZ231"/>
      <c r="AEA231"/>
      <c r="AEB231"/>
      <c r="AEC231"/>
      <c r="AED231"/>
      <c r="AEE231"/>
      <c r="AEF231"/>
      <c r="AEG231"/>
      <c r="AEH231"/>
      <c r="AEI231"/>
      <c r="AEJ231"/>
      <c r="AEK231"/>
      <c r="AEL231"/>
      <c r="AEM231"/>
      <c r="AEN231"/>
      <c r="AEO231"/>
      <c r="AEP231"/>
      <c r="AEQ231"/>
      <c r="AER231"/>
      <c r="AES231"/>
      <c r="AET231"/>
      <c r="AEU231"/>
      <c r="AEV231"/>
      <c r="AEW231"/>
      <c r="AEX231"/>
      <c r="AEY231"/>
      <c r="AEZ231"/>
      <c r="AFA231"/>
      <c r="AFB231"/>
      <c r="AFC231"/>
      <c r="AFD231"/>
      <c r="AFE231"/>
      <c r="AFF231"/>
      <c r="AFG231"/>
      <c r="AFH231"/>
      <c r="AFI231"/>
      <c r="AFJ231"/>
      <c r="AFK231"/>
      <c r="AFL231"/>
      <c r="AFM231"/>
      <c r="AFN231"/>
      <c r="AFO231"/>
      <c r="AFP231"/>
      <c r="AFQ231"/>
      <c r="AFR231"/>
      <c r="AFS231"/>
      <c r="AFT231"/>
      <c r="AFU231"/>
      <c r="AFV231"/>
      <c r="AFW231"/>
      <c r="AFX231"/>
      <c r="AFY231"/>
      <c r="AFZ231"/>
      <c r="AGA231"/>
      <c r="AGB231"/>
      <c r="AGC231"/>
      <c r="AGD231"/>
      <c r="AGE231"/>
      <c r="AGF231"/>
      <c r="AGG231"/>
      <c r="AGH231"/>
      <c r="AGI231"/>
      <c r="AGJ231"/>
      <c r="AGK231"/>
      <c r="AGL231"/>
      <c r="AGM231"/>
      <c r="AGN231"/>
      <c r="AGO231"/>
      <c r="AGP231"/>
      <c r="AGQ231"/>
      <c r="AGR231"/>
      <c r="AGS231"/>
      <c r="AGT231"/>
      <c r="AGU231"/>
      <c r="AGV231"/>
      <c r="AGW231"/>
      <c r="AGX231"/>
      <c r="AGY231"/>
      <c r="AGZ231"/>
      <c r="AHA231"/>
      <c r="AHB231"/>
      <c r="AHC231"/>
      <c r="AHD231"/>
      <c r="AHE231"/>
      <c r="AHF231"/>
      <c r="AHG231"/>
      <c r="AHH231"/>
      <c r="AHI231"/>
      <c r="AHJ231"/>
      <c r="AHK231"/>
      <c r="AHL231"/>
      <c r="AHM231"/>
      <c r="AHN231"/>
      <c r="AHO231"/>
      <c r="AHP231"/>
      <c r="AHQ231"/>
      <c r="AHR231"/>
      <c r="AHS231"/>
      <c r="AHT231"/>
      <c r="AHU231"/>
      <c r="AHV231"/>
      <c r="AHW231"/>
      <c r="AHX231"/>
      <c r="AHY231"/>
      <c r="AHZ231"/>
      <c r="AIA231"/>
      <c r="AIB231"/>
      <c r="AIC231"/>
      <c r="AID231"/>
      <c r="AIE231"/>
      <c r="AIF231"/>
      <c r="AIG231"/>
      <c r="AIH231"/>
      <c r="AII231"/>
      <c r="AIJ231"/>
      <c r="AIK231"/>
      <c r="AIL231"/>
      <c r="AIM231"/>
      <c r="AIN231"/>
      <c r="AIO231"/>
      <c r="AIP231"/>
      <c r="AIQ231"/>
      <c r="AIR231"/>
      <c r="AIS231"/>
      <c r="AIT231"/>
      <c r="AIU231"/>
      <c r="AIV231"/>
      <c r="AIW231"/>
      <c r="AIX231"/>
      <c r="AIY231"/>
      <c r="AIZ231"/>
      <c r="AJA231"/>
      <c r="AJB231"/>
      <c r="AJC231"/>
      <c r="AJD231"/>
      <c r="AJE231"/>
      <c r="AJF231"/>
      <c r="AJG231"/>
      <c r="AJH231"/>
      <c r="AJI231"/>
      <c r="AJJ231"/>
      <c r="AJK231"/>
      <c r="AJL231"/>
      <c r="AJM231"/>
      <c r="AJN231"/>
      <c r="AJO231"/>
      <c r="AJP231"/>
      <c r="AJQ231"/>
      <c r="AJR231"/>
      <c r="AJS231"/>
      <c r="AJT231"/>
      <c r="AJU231"/>
      <c r="AJV231"/>
      <c r="AJW231"/>
      <c r="AJX231"/>
      <c r="AJY231"/>
      <c r="AJZ231"/>
      <c r="AKA231"/>
      <c r="AKB231"/>
      <c r="AKC231"/>
      <c r="AKD231"/>
      <c r="AKE231"/>
      <c r="AKF231"/>
      <c r="AKG231"/>
      <c r="AKH231"/>
      <c r="AKI231"/>
      <c r="AKJ231"/>
      <c r="AKK231"/>
      <c r="AKL231"/>
      <c r="AKM231"/>
      <c r="AKN231"/>
      <c r="AKO231"/>
      <c r="AKP231"/>
      <c r="AKQ231"/>
      <c r="AKR231"/>
      <c r="AKS231"/>
      <c r="AKT231"/>
      <c r="AKU231"/>
      <c r="AKV231"/>
      <c r="AKW231"/>
      <c r="AKX231"/>
      <c r="AKY231"/>
      <c r="AKZ231"/>
      <c r="ALA231"/>
      <c r="ALB231"/>
      <c r="ALC231"/>
      <c r="ALD231"/>
      <c r="ALE231"/>
      <c r="ALF231"/>
      <c r="ALG231"/>
      <c r="ALH231"/>
      <c r="ALI231"/>
      <c r="ALJ231"/>
      <c r="ALK231"/>
      <c r="ALL231"/>
      <c r="ALM231"/>
      <c r="ALN231"/>
      <c r="ALO231"/>
      <c r="ALP231"/>
      <c r="ALQ231"/>
      <c r="ALR231"/>
      <c r="ALS231"/>
      <c r="ALT231"/>
      <c r="ALU231"/>
      <c r="ALV231"/>
      <c r="ALW231"/>
      <c r="ALX231"/>
      <c r="ALY231"/>
      <c r="ALZ231"/>
      <c r="AMA231"/>
      <c r="AMB231"/>
      <c r="AMC231"/>
      <c r="AMD231"/>
      <c r="AME231"/>
      <c r="AMF231"/>
      <c r="AMG231"/>
      <c r="AMH231"/>
      <c r="AMI231"/>
      <c r="AMJ231"/>
      <c r="AMK231"/>
      <c r="AML231"/>
      <c r="AMM231"/>
      <c r="AMN231"/>
      <c r="AMO231"/>
      <c r="AMP231"/>
      <c r="AMQ231"/>
      <c r="AMR231"/>
      <c r="AMS231"/>
      <c r="AMT231"/>
      <c r="AMU231"/>
      <c r="AMV231"/>
      <c r="AMW231"/>
      <c r="AMX231"/>
      <c r="AMY231"/>
      <c r="AMZ231"/>
      <c r="ANA231"/>
      <c r="ANB231"/>
      <c r="ANC231"/>
      <c r="AND231"/>
      <c r="ANE231"/>
      <c r="ANF231"/>
      <c r="ANG231"/>
      <c r="ANH231"/>
      <c r="ANI231"/>
      <c r="ANJ231"/>
      <c r="ANK231"/>
      <c r="ANL231"/>
      <c r="ANM231"/>
      <c r="ANN231"/>
      <c r="ANO231"/>
      <c r="ANP231"/>
      <c r="ANQ231"/>
      <c r="ANR231"/>
      <c r="ANS231"/>
      <c r="ANT231"/>
      <c r="ANU231"/>
      <c r="ANV231"/>
      <c r="ANW231"/>
      <c r="ANX231"/>
      <c r="ANY231"/>
      <c r="ANZ231"/>
      <c r="AOA231"/>
      <c r="AOB231"/>
      <c r="AOC231"/>
      <c r="AOD231"/>
      <c r="AOE231"/>
      <c r="AOF231"/>
      <c r="AOG231"/>
      <c r="AOH231"/>
      <c r="AOI231"/>
      <c r="AOJ231"/>
      <c r="AOK231"/>
      <c r="AOL231"/>
      <c r="AOM231"/>
      <c r="AON231"/>
      <c r="AOO231"/>
      <c r="AOP231"/>
      <c r="AOQ231"/>
      <c r="AOR231"/>
      <c r="AOS231"/>
      <c r="AOT231"/>
      <c r="AOU231"/>
      <c r="AOV231"/>
      <c r="AOW231"/>
      <c r="AOX231"/>
      <c r="AOY231"/>
      <c r="AOZ231"/>
      <c r="APA231"/>
      <c r="APB231"/>
      <c r="APC231"/>
      <c r="APD231"/>
      <c r="APE231"/>
      <c r="APF231"/>
      <c r="APG231"/>
      <c r="APH231"/>
      <c r="API231"/>
      <c r="APJ231"/>
      <c r="APK231"/>
      <c r="APL231"/>
      <c r="APM231"/>
      <c r="APN231"/>
      <c r="APO231"/>
      <c r="APP231"/>
      <c r="APQ231"/>
      <c r="APR231"/>
      <c r="APS231"/>
      <c r="APT231"/>
      <c r="APU231"/>
      <c r="APV231"/>
      <c r="APW231"/>
      <c r="APX231"/>
      <c r="APY231"/>
      <c r="APZ231"/>
      <c r="AQA231"/>
      <c r="AQB231"/>
      <c r="AQC231"/>
      <c r="AQD231"/>
      <c r="AQE231"/>
      <c r="AQF231"/>
      <c r="AQG231"/>
      <c r="AQH231"/>
      <c r="AQI231"/>
      <c r="AQJ231"/>
      <c r="AQK231"/>
      <c r="AQL231"/>
      <c r="AQM231"/>
      <c r="AQN231"/>
      <c r="AQO231"/>
      <c r="AQP231"/>
      <c r="AQQ231"/>
      <c r="AQR231"/>
      <c r="AQS231"/>
      <c r="AQT231"/>
      <c r="AQU231"/>
      <c r="AQV231"/>
      <c r="AQW231"/>
      <c r="AQX231"/>
      <c r="AQY231"/>
      <c r="AQZ231"/>
      <c r="ARA231"/>
      <c r="ARB231"/>
      <c r="ARC231"/>
      <c r="ARD231"/>
      <c r="ARE231"/>
      <c r="ARF231"/>
      <c r="ARG231"/>
      <c r="ARH231"/>
      <c r="ARI231"/>
      <c r="ARJ231"/>
      <c r="ARK231"/>
      <c r="ARL231"/>
      <c r="ARM231"/>
      <c r="ARN231"/>
      <c r="ARO231"/>
      <c r="ARP231"/>
      <c r="ARQ231"/>
      <c r="ARR231"/>
      <c r="ARS231"/>
      <c r="ART231"/>
      <c r="ARU231"/>
      <c r="ARV231"/>
      <c r="ARW231"/>
      <c r="ARX231"/>
      <c r="ARY231"/>
      <c r="ARZ231"/>
      <c r="ASA231"/>
      <c r="ASB231"/>
      <c r="ASC231"/>
      <c r="ASD231"/>
      <c r="ASE231"/>
      <c r="ASF231"/>
      <c r="ASG231"/>
      <c r="ASH231"/>
      <c r="ASI231"/>
      <c r="ASJ231"/>
      <c r="ASK231"/>
      <c r="ASL231"/>
      <c r="ASM231"/>
      <c r="ASN231"/>
      <c r="ASO231"/>
      <c r="ASP231"/>
      <c r="ASQ231"/>
      <c r="ASR231"/>
      <c r="ASS231"/>
      <c r="AST231"/>
      <c r="ASU231"/>
      <c r="ASV231"/>
      <c r="ASW231"/>
      <c r="ASX231"/>
      <c r="ASY231"/>
      <c r="ASZ231"/>
      <c r="ATA231"/>
      <c r="ATB231"/>
      <c r="ATC231"/>
      <c r="ATD231"/>
      <c r="ATE231"/>
      <c r="ATF231"/>
      <c r="ATG231"/>
      <c r="ATH231"/>
      <c r="ATI231"/>
      <c r="ATJ231"/>
      <c r="ATK231"/>
      <c r="ATL231"/>
      <c r="ATM231"/>
      <c r="ATN231"/>
      <c r="ATO231"/>
      <c r="ATP231"/>
      <c r="ATQ231"/>
      <c r="ATR231"/>
      <c r="ATS231"/>
      <c r="ATT231"/>
      <c r="ATU231"/>
      <c r="ATV231"/>
      <c r="ATW231"/>
      <c r="ATX231"/>
      <c r="ATY231"/>
      <c r="ATZ231"/>
      <c r="AUA231"/>
      <c r="AUB231"/>
      <c r="AUC231"/>
      <c r="AUD231"/>
      <c r="AUE231"/>
      <c r="AUF231"/>
      <c r="AUG231"/>
      <c r="AUH231"/>
      <c r="AUI231"/>
      <c r="AUJ231"/>
      <c r="AUK231"/>
      <c r="AUL231"/>
      <c r="AUM231"/>
      <c r="AUN231"/>
      <c r="AUO231"/>
      <c r="AUP231"/>
      <c r="AUQ231"/>
      <c r="AUR231"/>
      <c r="AUS231"/>
      <c r="AUT231"/>
      <c r="AUU231"/>
      <c r="AUV231"/>
      <c r="AUW231"/>
      <c r="AUX231"/>
      <c r="AUY231"/>
      <c r="AUZ231"/>
      <c r="AVA231"/>
      <c r="AVB231"/>
      <c r="AVC231"/>
      <c r="AVD231"/>
      <c r="AVE231"/>
      <c r="AVF231"/>
      <c r="AVG231"/>
      <c r="AVH231"/>
      <c r="AVI231"/>
      <c r="AVJ231"/>
      <c r="AVK231"/>
      <c r="AVL231"/>
      <c r="AVM231"/>
      <c r="AVN231"/>
      <c r="AVO231"/>
      <c r="AVP231"/>
      <c r="AVQ231"/>
      <c r="AVR231"/>
      <c r="AVS231"/>
      <c r="AVT231"/>
      <c r="AVU231"/>
      <c r="AVV231"/>
      <c r="AVW231"/>
      <c r="AVX231"/>
      <c r="AVY231"/>
      <c r="AVZ231"/>
      <c r="AWA231"/>
      <c r="AWB231"/>
      <c r="AWC231"/>
      <c r="AWD231"/>
      <c r="AWE231"/>
      <c r="AWF231"/>
      <c r="AWG231"/>
      <c r="AWH231"/>
      <c r="AWI231"/>
      <c r="AWJ231"/>
      <c r="AWK231"/>
      <c r="AWL231"/>
      <c r="AWM231"/>
      <c r="AWN231"/>
      <c r="AWO231"/>
      <c r="AWP231"/>
      <c r="AWQ231"/>
      <c r="AWR231"/>
      <c r="AWS231"/>
      <c r="AWT231"/>
      <c r="AWU231"/>
      <c r="AWV231"/>
      <c r="AWW231"/>
      <c r="AWX231"/>
      <c r="AWY231"/>
      <c r="AWZ231"/>
      <c r="AXA231"/>
      <c r="AXB231"/>
      <c r="AXC231"/>
      <c r="AXD231"/>
      <c r="AXE231"/>
      <c r="AXF231"/>
      <c r="AXG231"/>
      <c r="AXH231"/>
      <c r="AXI231"/>
      <c r="AXJ231"/>
      <c r="AXK231"/>
      <c r="AXL231"/>
      <c r="AXM231"/>
      <c r="AXN231"/>
      <c r="AXO231"/>
      <c r="AXP231"/>
      <c r="AXQ231"/>
      <c r="AXR231"/>
      <c r="AXS231"/>
      <c r="AXT231"/>
      <c r="AXU231"/>
      <c r="AXV231"/>
      <c r="AXW231"/>
      <c r="AXX231"/>
      <c r="AXY231"/>
      <c r="AXZ231"/>
      <c r="AYA231"/>
      <c r="AYB231"/>
      <c r="AYC231"/>
      <c r="AYD231"/>
      <c r="AYE231"/>
      <c r="AYF231"/>
      <c r="AYG231"/>
      <c r="AYH231"/>
      <c r="AYI231"/>
      <c r="AYJ231"/>
      <c r="AYK231"/>
      <c r="AYL231"/>
      <c r="AYM231"/>
      <c r="AYN231"/>
      <c r="AYO231"/>
      <c r="AYP231"/>
      <c r="AYQ231"/>
      <c r="AYR231"/>
      <c r="AYS231"/>
      <c r="AYT231"/>
      <c r="AYU231"/>
      <c r="AYV231"/>
      <c r="AYW231"/>
      <c r="AYX231"/>
      <c r="AYY231"/>
      <c r="AYZ231"/>
      <c r="AZA231"/>
      <c r="AZB231"/>
      <c r="AZC231"/>
      <c r="AZD231"/>
      <c r="AZE231"/>
      <c r="AZF231"/>
      <c r="AZG231"/>
      <c r="AZH231"/>
      <c r="AZI231"/>
      <c r="AZJ231"/>
      <c r="AZK231"/>
      <c r="AZL231"/>
      <c r="AZM231"/>
      <c r="AZN231"/>
      <c r="AZO231"/>
      <c r="AZP231"/>
      <c r="AZQ231"/>
      <c r="AZR231"/>
      <c r="AZS231"/>
      <c r="AZT231"/>
      <c r="AZU231"/>
      <c r="AZV231"/>
      <c r="AZW231"/>
      <c r="AZX231"/>
      <c r="AZY231"/>
      <c r="AZZ231"/>
      <c r="BAA231"/>
      <c r="BAB231"/>
      <c r="BAC231"/>
      <c r="BAD231"/>
      <c r="BAE231"/>
      <c r="BAF231"/>
      <c r="BAG231"/>
      <c r="BAH231"/>
      <c r="BAI231"/>
      <c r="BAJ231"/>
      <c r="BAK231"/>
      <c r="BAL231"/>
      <c r="BAM231"/>
      <c r="BAN231"/>
      <c r="BAO231"/>
      <c r="BAP231"/>
      <c r="BAQ231"/>
      <c r="BAR231"/>
      <c r="BAS231"/>
      <c r="BAT231"/>
      <c r="BAU231"/>
      <c r="BAV231"/>
      <c r="BAW231"/>
      <c r="BAX231"/>
      <c r="BAY231"/>
      <c r="BAZ231"/>
      <c r="BBA231"/>
      <c r="BBB231"/>
      <c r="BBC231"/>
      <c r="BBD231"/>
      <c r="BBE231"/>
      <c r="BBF231"/>
      <c r="BBG231"/>
      <c r="BBH231"/>
      <c r="BBI231"/>
      <c r="BBJ231"/>
      <c r="BBK231"/>
      <c r="BBL231"/>
      <c r="BBM231"/>
      <c r="BBN231"/>
      <c r="BBO231"/>
      <c r="BBP231"/>
      <c r="BBQ231"/>
      <c r="BBR231"/>
      <c r="BBS231"/>
      <c r="BBT231"/>
      <c r="BBU231"/>
      <c r="BBV231"/>
      <c r="BBW231"/>
      <c r="BBX231"/>
      <c r="BBY231"/>
      <c r="BBZ231"/>
      <c r="BCA231"/>
      <c r="BCB231"/>
      <c r="BCC231"/>
      <c r="BCD231"/>
      <c r="BCE231"/>
      <c r="BCF231"/>
      <c r="BCG231"/>
      <c r="BCH231"/>
      <c r="BCI231"/>
      <c r="BCJ231"/>
      <c r="BCK231"/>
      <c r="BCL231"/>
      <c r="BCM231"/>
      <c r="BCN231"/>
      <c r="BCO231"/>
      <c r="BCP231"/>
      <c r="BCQ231"/>
      <c r="BCR231"/>
      <c r="BCS231"/>
      <c r="BCT231"/>
      <c r="BCU231"/>
      <c r="BCV231"/>
      <c r="BCW231"/>
      <c r="BCX231"/>
      <c r="BCY231"/>
      <c r="BCZ231"/>
      <c r="BDA231"/>
      <c r="BDB231"/>
      <c r="BDC231"/>
      <c r="BDD231"/>
      <c r="BDE231"/>
      <c r="BDF231"/>
      <c r="BDG231"/>
      <c r="BDH231"/>
      <c r="BDI231"/>
      <c r="BDJ231"/>
      <c r="BDK231"/>
      <c r="BDL231"/>
      <c r="BDM231"/>
      <c r="BDN231"/>
      <c r="BDO231"/>
      <c r="BDP231"/>
      <c r="BDQ231"/>
      <c r="BDR231"/>
      <c r="BDS231"/>
      <c r="BDT231"/>
      <c r="BDU231"/>
      <c r="BDV231"/>
      <c r="BDW231"/>
      <c r="BDX231"/>
      <c r="BDY231"/>
      <c r="BDZ231"/>
      <c r="BEA231"/>
      <c r="BEB231"/>
      <c r="BEC231"/>
      <c r="BED231"/>
      <c r="BEE231"/>
      <c r="BEF231"/>
      <c r="BEG231"/>
      <c r="BEH231"/>
      <c r="BEI231"/>
      <c r="BEJ231"/>
      <c r="BEK231"/>
      <c r="BEL231"/>
      <c r="BEM231"/>
      <c r="BEN231"/>
      <c r="BEO231"/>
      <c r="BEP231"/>
      <c r="BEQ231"/>
      <c r="BER231"/>
      <c r="BES231"/>
      <c r="BET231"/>
      <c r="BEU231"/>
      <c r="BEV231"/>
      <c r="BEW231"/>
      <c r="BEX231"/>
      <c r="BEY231"/>
      <c r="BEZ231"/>
      <c r="BFA231"/>
      <c r="BFB231"/>
      <c r="BFC231"/>
      <c r="BFD231"/>
      <c r="BFE231"/>
      <c r="BFF231"/>
      <c r="BFG231"/>
      <c r="BFH231"/>
      <c r="BFI231"/>
      <c r="BFJ231"/>
      <c r="BFK231"/>
      <c r="BFL231"/>
      <c r="BFM231"/>
      <c r="BFN231"/>
      <c r="BFO231"/>
      <c r="BFP231"/>
      <c r="BFQ231"/>
      <c r="BFR231"/>
      <c r="BFS231"/>
      <c r="BFT231"/>
      <c r="BFU231"/>
      <c r="BFV231"/>
      <c r="BFW231"/>
      <c r="BFX231"/>
      <c r="BFY231"/>
      <c r="BFZ231"/>
      <c r="BGA231"/>
      <c r="BGB231"/>
      <c r="BGC231"/>
      <c r="BGD231"/>
      <c r="BGE231"/>
      <c r="BGF231"/>
      <c r="BGG231"/>
      <c r="BGH231"/>
      <c r="BGI231"/>
      <c r="BGJ231"/>
      <c r="BGK231"/>
      <c r="BGL231"/>
      <c r="BGM231"/>
      <c r="BGN231"/>
      <c r="BGO231"/>
      <c r="BGP231"/>
      <c r="BGQ231"/>
      <c r="BGR231"/>
      <c r="BGS231"/>
      <c r="BGT231"/>
      <c r="BGU231"/>
      <c r="BGV231"/>
      <c r="BGW231"/>
      <c r="BGX231"/>
      <c r="BGY231"/>
      <c r="BGZ231"/>
      <c r="BHA231"/>
      <c r="BHB231"/>
      <c r="BHC231"/>
      <c r="BHD231"/>
      <c r="BHE231"/>
      <c r="BHF231"/>
      <c r="BHG231"/>
      <c r="BHH231"/>
      <c r="BHI231"/>
      <c r="BHJ231"/>
      <c r="BHK231"/>
      <c r="BHL231"/>
      <c r="BHM231"/>
      <c r="BHN231"/>
      <c r="BHO231"/>
      <c r="BHP231"/>
      <c r="BHQ231"/>
      <c r="BHR231"/>
      <c r="BHS231"/>
      <c r="BHT231"/>
      <c r="BHU231"/>
      <c r="BHV231"/>
      <c r="BHW231"/>
      <c r="BHX231"/>
      <c r="BHY231"/>
      <c r="BHZ231"/>
      <c r="BIA231"/>
      <c r="BIB231"/>
      <c r="BIC231"/>
      <c r="BID231"/>
      <c r="BIE231"/>
      <c r="BIF231"/>
      <c r="BIG231"/>
      <c r="BIH231"/>
      <c r="BII231"/>
      <c r="BIJ231"/>
      <c r="BIK231"/>
      <c r="BIL231"/>
      <c r="BIM231"/>
      <c r="BIN231"/>
      <c r="BIO231"/>
      <c r="BIP231"/>
      <c r="BIQ231"/>
      <c r="BIR231"/>
      <c r="BIS231"/>
      <c r="BIT231"/>
      <c r="BIU231"/>
      <c r="BIV231"/>
      <c r="BIW231"/>
      <c r="BIX231"/>
      <c r="BIY231"/>
      <c r="BIZ231"/>
      <c r="BJA231"/>
      <c r="BJB231"/>
      <c r="BJC231"/>
      <c r="BJD231"/>
      <c r="BJE231"/>
      <c r="BJF231"/>
      <c r="BJG231"/>
      <c r="BJH231"/>
      <c r="BJI231"/>
      <c r="BJJ231"/>
      <c r="BJK231"/>
      <c r="BJL231"/>
      <c r="BJM231"/>
      <c r="BJN231"/>
      <c r="BJO231"/>
      <c r="BJP231"/>
      <c r="BJQ231"/>
      <c r="BJR231"/>
      <c r="BJS231"/>
      <c r="BJT231"/>
      <c r="BJU231"/>
      <c r="BJV231"/>
      <c r="BJW231"/>
      <c r="BJX231"/>
      <c r="BJY231"/>
      <c r="BJZ231"/>
      <c r="BKA231"/>
      <c r="BKB231"/>
      <c r="BKC231"/>
      <c r="BKD231"/>
      <c r="BKE231"/>
      <c r="BKF231"/>
      <c r="BKG231"/>
      <c r="BKH231"/>
      <c r="BKI231"/>
      <c r="BKJ231"/>
      <c r="BKK231"/>
      <c r="BKL231"/>
      <c r="BKM231"/>
      <c r="BKN231"/>
      <c r="BKO231"/>
      <c r="BKP231"/>
      <c r="BKQ231"/>
      <c r="BKR231"/>
      <c r="BKS231"/>
      <c r="BKT231"/>
      <c r="BKU231"/>
      <c r="BKV231"/>
      <c r="BKW231"/>
      <c r="BKX231"/>
      <c r="BKY231"/>
      <c r="BKZ231"/>
      <c r="BLA231"/>
      <c r="BLB231"/>
      <c r="BLC231"/>
      <c r="BLD231"/>
      <c r="BLE231"/>
      <c r="BLF231"/>
      <c r="BLG231"/>
      <c r="BLH231"/>
      <c r="BLI231"/>
      <c r="BLJ231"/>
      <c r="BLK231"/>
      <c r="BLL231"/>
      <c r="BLM231"/>
      <c r="BLN231"/>
      <c r="BLO231"/>
      <c r="BLP231"/>
      <c r="BLQ231"/>
      <c r="BLR231"/>
      <c r="BLS231"/>
      <c r="BLT231"/>
      <c r="BLU231"/>
      <c r="BLV231"/>
      <c r="BLW231"/>
      <c r="BLX231"/>
      <c r="BLY231"/>
      <c r="BLZ231"/>
      <c r="BMA231"/>
      <c r="BMB231"/>
      <c r="BMC231"/>
      <c r="BMD231"/>
      <c r="BME231"/>
      <c r="BMF231"/>
      <c r="BMG231"/>
      <c r="BMH231"/>
      <c r="BMI231"/>
      <c r="BMJ231"/>
      <c r="BMK231"/>
      <c r="BML231"/>
      <c r="BMM231"/>
      <c r="BMN231"/>
      <c r="BMO231"/>
      <c r="BMP231"/>
      <c r="BMQ231"/>
      <c r="BMR231"/>
      <c r="BMS231"/>
      <c r="BMT231"/>
      <c r="BMU231"/>
      <c r="BMV231"/>
      <c r="BMW231"/>
      <c r="BMX231"/>
      <c r="BMY231"/>
      <c r="BMZ231"/>
      <c r="BNA231"/>
      <c r="BNB231"/>
      <c r="BNC231"/>
      <c r="BND231"/>
      <c r="BNE231"/>
      <c r="BNF231"/>
      <c r="BNG231"/>
      <c r="BNH231"/>
      <c r="BNI231"/>
      <c r="BNJ231"/>
      <c r="BNK231"/>
      <c r="BNL231"/>
      <c r="BNM231"/>
      <c r="BNN231"/>
      <c r="BNO231"/>
      <c r="BNP231"/>
      <c r="BNQ231"/>
      <c r="BNR231"/>
      <c r="BNS231"/>
      <c r="BNT231"/>
      <c r="BNU231"/>
      <c r="BNV231"/>
      <c r="BNW231"/>
      <c r="BNX231"/>
      <c r="BNY231"/>
      <c r="BNZ231"/>
      <c r="BOA231"/>
      <c r="BOB231"/>
      <c r="BOC231"/>
      <c r="BOD231"/>
      <c r="BOE231"/>
      <c r="BOF231"/>
      <c r="BOG231"/>
      <c r="BOH231"/>
      <c r="BOI231"/>
      <c r="BOJ231"/>
      <c r="BOK231"/>
      <c r="BOL231"/>
      <c r="BOM231"/>
      <c r="BON231"/>
      <c r="BOO231"/>
      <c r="BOP231"/>
      <c r="BOQ231"/>
      <c r="BOR231"/>
      <c r="BOS231"/>
      <c r="BOT231"/>
      <c r="BOU231"/>
      <c r="BOV231"/>
      <c r="BOW231"/>
      <c r="BOX231"/>
      <c r="BOY231"/>
      <c r="BOZ231"/>
      <c r="BPA231"/>
      <c r="BPB231"/>
      <c r="BPC231"/>
      <c r="BPD231"/>
      <c r="BPE231"/>
      <c r="BPF231"/>
      <c r="BPG231"/>
      <c r="BPH231"/>
      <c r="BPI231"/>
      <c r="BPJ231"/>
      <c r="BPK231"/>
      <c r="BPL231"/>
      <c r="BPM231"/>
      <c r="BPN231"/>
      <c r="BPO231"/>
      <c r="BPP231"/>
      <c r="BPQ231"/>
      <c r="BPR231"/>
      <c r="BPS231"/>
      <c r="BPT231"/>
      <c r="BPU231"/>
      <c r="BPV231"/>
      <c r="BPW231"/>
      <c r="BPX231"/>
      <c r="BPY231"/>
      <c r="BPZ231"/>
      <c r="BQA231"/>
      <c r="BQB231"/>
      <c r="BQC231"/>
      <c r="BQD231"/>
      <c r="BQE231"/>
      <c r="BQF231"/>
      <c r="BQG231"/>
      <c r="BQH231"/>
      <c r="BQI231"/>
      <c r="BQJ231"/>
      <c r="BQK231"/>
      <c r="BQL231"/>
      <c r="BQM231"/>
      <c r="BQN231"/>
      <c r="BQO231"/>
      <c r="BQP231"/>
      <c r="BQQ231"/>
      <c r="BQR231"/>
      <c r="BQS231"/>
      <c r="BQT231"/>
      <c r="BQU231"/>
      <c r="BQV231"/>
      <c r="BQW231"/>
      <c r="BQX231"/>
      <c r="BQY231"/>
      <c r="BQZ231"/>
      <c r="BRA231"/>
      <c r="BRB231"/>
      <c r="BRC231"/>
      <c r="BRD231"/>
      <c r="BRE231"/>
      <c r="BRF231"/>
      <c r="BRG231"/>
      <c r="BRH231"/>
      <c r="BRI231"/>
      <c r="BRJ231"/>
      <c r="BRK231"/>
      <c r="BRL231"/>
      <c r="BRM231"/>
      <c r="BRN231"/>
      <c r="BRO231"/>
      <c r="BRP231"/>
      <c r="BRQ231"/>
      <c r="BRR231"/>
      <c r="BRS231"/>
      <c r="BRT231"/>
      <c r="BRU231"/>
      <c r="BRV231"/>
      <c r="BRW231"/>
      <c r="BRX231"/>
      <c r="BRY231"/>
      <c r="BRZ231"/>
      <c r="BSA231"/>
      <c r="BSB231"/>
      <c r="BSC231"/>
      <c r="BSD231"/>
      <c r="BSE231"/>
      <c r="BSF231"/>
      <c r="BSG231"/>
      <c r="BSH231"/>
      <c r="BSI231"/>
      <c r="BSJ231"/>
      <c r="BSK231"/>
      <c r="BSL231"/>
      <c r="BSM231"/>
      <c r="BSN231"/>
      <c r="BSO231"/>
      <c r="BSP231"/>
      <c r="BSQ231"/>
      <c r="BSR231"/>
      <c r="BSS231"/>
      <c r="BST231"/>
      <c r="BSU231"/>
      <c r="BSV231"/>
      <c r="BSW231"/>
      <c r="BSX231"/>
      <c r="BSY231"/>
      <c r="BSZ231"/>
      <c r="BTA231"/>
      <c r="BTB231"/>
      <c r="BTC231"/>
      <c r="BTD231"/>
      <c r="BTE231"/>
      <c r="BTF231"/>
      <c r="BTG231"/>
      <c r="BTH231"/>
      <c r="BTI231"/>
      <c r="BTJ231"/>
      <c r="BTK231"/>
      <c r="BTL231"/>
      <c r="BTM231"/>
      <c r="BTN231"/>
      <c r="BTO231"/>
      <c r="BTP231"/>
      <c r="BTQ231"/>
      <c r="BTR231"/>
      <c r="BTS231"/>
      <c r="BTT231"/>
      <c r="BTU231"/>
      <c r="BTV231"/>
      <c r="BTW231"/>
      <c r="BTX231"/>
      <c r="BTY231"/>
      <c r="BTZ231"/>
      <c r="BUA231"/>
      <c r="BUB231"/>
      <c r="BUC231"/>
      <c r="BUD231"/>
      <c r="BUE231"/>
      <c r="BUF231"/>
      <c r="BUG231"/>
      <c r="BUH231"/>
      <c r="BUI231"/>
      <c r="BUJ231"/>
      <c r="BUK231"/>
      <c r="BUL231"/>
      <c r="BUM231"/>
      <c r="BUN231"/>
      <c r="BUO231"/>
      <c r="BUP231"/>
      <c r="BUQ231"/>
      <c r="BUR231"/>
      <c r="BUS231"/>
      <c r="BUT231"/>
      <c r="BUU231"/>
      <c r="BUV231"/>
      <c r="BUW231"/>
      <c r="BUX231"/>
      <c r="BUY231"/>
      <c r="BUZ231"/>
      <c r="BVA231"/>
      <c r="BVB231"/>
      <c r="BVC231"/>
      <c r="BVD231"/>
      <c r="BVE231"/>
      <c r="BVF231"/>
      <c r="BVG231"/>
      <c r="BVH231"/>
      <c r="BVI231"/>
      <c r="BVJ231"/>
      <c r="BVK231"/>
      <c r="BVL231"/>
      <c r="BVM231"/>
      <c r="BVN231"/>
      <c r="BVO231"/>
      <c r="BVP231"/>
      <c r="BVQ231"/>
      <c r="BVR231"/>
      <c r="BVS231"/>
      <c r="BVT231"/>
      <c r="BVU231"/>
      <c r="BVV231"/>
      <c r="BVW231"/>
      <c r="BVX231"/>
      <c r="BVY231"/>
      <c r="BVZ231"/>
      <c r="BWA231"/>
      <c r="BWB231"/>
      <c r="BWC231"/>
      <c r="BWD231"/>
      <c r="BWE231"/>
      <c r="BWF231"/>
      <c r="BWG231"/>
      <c r="BWH231"/>
      <c r="BWI231"/>
      <c r="BWJ231"/>
      <c r="BWK231"/>
      <c r="BWL231"/>
      <c r="BWM231"/>
      <c r="BWN231"/>
      <c r="BWO231"/>
      <c r="BWP231"/>
      <c r="BWQ231"/>
      <c r="BWR231"/>
      <c r="BWS231"/>
      <c r="BWT231"/>
      <c r="BWU231"/>
      <c r="BWV231"/>
      <c r="BWW231"/>
      <c r="BWX231"/>
      <c r="BWY231"/>
      <c r="BWZ231"/>
      <c r="BXA231"/>
      <c r="BXB231"/>
      <c r="BXC231"/>
      <c r="BXD231"/>
      <c r="BXE231"/>
      <c r="BXF231"/>
      <c r="BXG231"/>
      <c r="BXH231"/>
      <c r="BXI231"/>
      <c r="BXJ231"/>
      <c r="BXK231"/>
      <c r="BXL231"/>
      <c r="BXM231"/>
      <c r="BXN231"/>
      <c r="BXO231"/>
      <c r="BXP231"/>
      <c r="BXQ231"/>
      <c r="BXR231"/>
      <c r="BXS231"/>
      <c r="BXT231"/>
      <c r="BXU231"/>
      <c r="BXV231"/>
      <c r="BXW231"/>
      <c r="BXX231"/>
      <c r="BXY231"/>
      <c r="BXZ231"/>
      <c r="BYA231"/>
      <c r="BYB231"/>
      <c r="BYC231"/>
      <c r="BYD231"/>
      <c r="BYE231"/>
      <c r="BYF231"/>
      <c r="BYG231"/>
      <c r="BYH231"/>
      <c r="BYI231"/>
      <c r="BYJ231"/>
      <c r="BYK231"/>
      <c r="BYL231"/>
      <c r="BYM231"/>
      <c r="BYN231"/>
      <c r="BYO231"/>
      <c r="BYP231"/>
      <c r="BYQ231"/>
      <c r="BYR231"/>
      <c r="BYS231"/>
      <c r="BYT231"/>
      <c r="BYU231"/>
      <c r="BYV231"/>
      <c r="BYW231"/>
      <c r="BYX231"/>
      <c r="BYY231"/>
      <c r="BYZ231"/>
      <c r="BZA231"/>
      <c r="BZB231"/>
      <c r="BZC231"/>
      <c r="BZD231"/>
      <c r="BZE231"/>
      <c r="BZF231"/>
      <c r="BZG231"/>
      <c r="BZH231"/>
      <c r="BZI231"/>
      <c r="BZJ231"/>
      <c r="BZK231"/>
      <c r="BZL231"/>
      <c r="BZM231"/>
      <c r="BZN231"/>
      <c r="BZO231"/>
      <c r="BZP231"/>
      <c r="BZQ231"/>
      <c r="BZR231"/>
      <c r="BZS231"/>
      <c r="BZT231"/>
      <c r="BZU231"/>
      <c r="BZV231"/>
      <c r="BZW231"/>
      <c r="BZX231"/>
      <c r="BZY231"/>
      <c r="BZZ231"/>
      <c r="CAA231"/>
      <c r="CAB231"/>
      <c r="CAC231"/>
      <c r="CAD231"/>
      <c r="CAE231"/>
      <c r="CAF231"/>
      <c r="CAG231"/>
      <c r="CAH231"/>
      <c r="CAI231"/>
      <c r="CAJ231"/>
      <c r="CAK231"/>
      <c r="CAL231"/>
      <c r="CAM231"/>
      <c r="CAN231"/>
      <c r="CAO231"/>
      <c r="CAP231"/>
      <c r="CAQ231"/>
      <c r="CAR231"/>
      <c r="CAS231"/>
      <c r="CAT231"/>
      <c r="CAU231"/>
      <c r="CAV231"/>
      <c r="CAW231"/>
      <c r="CAX231"/>
      <c r="CAY231"/>
      <c r="CAZ231"/>
      <c r="CBA231"/>
      <c r="CBB231"/>
      <c r="CBC231"/>
      <c r="CBD231"/>
      <c r="CBE231"/>
      <c r="CBF231"/>
      <c r="CBG231"/>
      <c r="CBH231"/>
      <c r="CBI231"/>
      <c r="CBJ231"/>
      <c r="CBK231"/>
      <c r="CBL231"/>
      <c r="CBM231"/>
      <c r="CBN231"/>
      <c r="CBO231"/>
      <c r="CBP231"/>
      <c r="CBQ231"/>
      <c r="CBR231"/>
      <c r="CBS231"/>
      <c r="CBT231"/>
      <c r="CBU231"/>
      <c r="CBV231"/>
      <c r="CBW231"/>
      <c r="CBX231"/>
      <c r="CBY231"/>
      <c r="CBZ231"/>
      <c r="CCA231"/>
      <c r="CCB231"/>
      <c r="CCC231"/>
      <c r="CCD231"/>
      <c r="CCE231"/>
      <c r="CCF231"/>
      <c r="CCG231"/>
      <c r="CCH231"/>
      <c r="CCI231"/>
      <c r="CCJ231"/>
      <c r="CCK231"/>
      <c r="CCL231"/>
      <c r="CCM231"/>
      <c r="CCN231"/>
      <c r="CCO231"/>
      <c r="CCP231"/>
      <c r="CCQ231"/>
      <c r="CCR231"/>
      <c r="CCS231"/>
      <c r="CCT231"/>
      <c r="CCU231"/>
      <c r="CCV231"/>
      <c r="CCW231"/>
      <c r="CCX231"/>
      <c r="CCY231"/>
      <c r="CCZ231"/>
      <c r="CDA231"/>
      <c r="CDB231"/>
      <c r="CDC231"/>
      <c r="CDD231"/>
      <c r="CDE231"/>
      <c r="CDF231"/>
      <c r="CDG231"/>
      <c r="CDH231"/>
      <c r="CDI231"/>
      <c r="CDJ231"/>
      <c r="CDK231"/>
      <c r="CDL231"/>
      <c r="CDM231"/>
      <c r="CDN231"/>
      <c r="CDO231"/>
      <c r="CDP231"/>
      <c r="CDQ231"/>
      <c r="CDR231"/>
      <c r="CDS231"/>
      <c r="CDT231"/>
      <c r="CDU231"/>
      <c r="CDV231"/>
      <c r="CDW231"/>
      <c r="CDX231"/>
      <c r="CDY231"/>
      <c r="CDZ231"/>
      <c r="CEA231"/>
      <c r="CEB231"/>
      <c r="CEC231"/>
      <c r="CED231"/>
      <c r="CEE231"/>
      <c r="CEF231"/>
      <c r="CEG231"/>
      <c r="CEH231"/>
      <c r="CEI231"/>
      <c r="CEJ231"/>
      <c r="CEK231"/>
      <c r="CEL231"/>
      <c r="CEM231"/>
      <c r="CEN231"/>
      <c r="CEO231"/>
      <c r="CEP231"/>
      <c r="CEQ231"/>
      <c r="CER231"/>
      <c r="CES231"/>
      <c r="CET231"/>
      <c r="CEU231"/>
      <c r="CEV231"/>
      <c r="CEW231"/>
      <c r="CEX231"/>
      <c r="CEY231"/>
      <c r="CEZ231"/>
      <c r="CFA231"/>
      <c r="CFB231"/>
      <c r="CFC231"/>
      <c r="CFD231"/>
      <c r="CFE231"/>
      <c r="CFF231"/>
      <c r="CFG231"/>
      <c r="CFH231"/>
      <c r="CFI231"/>
      <c r="CFJ231"/>
      <c r="CFK231"/>
      <c r="CFL231"/>
      <c r="CFM231"/>
      <c r="CFN231"/>
      <c r="CFO231"/>
      <c r="CFP231"/>
      <c r="CFQ231"/>
      <c r="CFR231"/>
      <c r="CFS231"/>
      <c r="CFT231"/>
      <c r="CFU231"/>
      <c r="CFV231"/>
      <c r="CFW231"/>
      <c r="CFX231"/>
      <c r="CFY231"/>
      <c r="CFZ231"/>
      <c r="CGA231"/>
      <c r="CGB231"/>
      <c r="CGC231"/>
      <c r="CGD231"/>
      <c r="CGE231"/>
      <c r="CGF231"/>
      <c r="CGG231"/>
      <c r="CGH231"/>
      <c r="CGI231"/>
      <c r="CGJ231"/>
      <c r="CGK231"/>
      <c r="CGL231"/>
      <c r="CGM231"/>
      <c r="CGN231"/>
      <c r="CGO231"/>
      <c r="CGP231"/>
      <c r="CGQ231"/>
      <c r="CGR231"/>
      <c r="CGS231"/>
      <c r="CGT231"/>
      <c r="CGU231"/>
      <c r="CGV231"/>
      <c r="CGW231"/>
      <c r="CGX231"/>
      <c r="CGY231"/>
      <c r="CGZ231"/>
      <c r="CHA231"/>
      <c r="CHB231"/>
      <c r="CHC231"/>
      <c r="CHD231"/>
      <c r="CHE231"/>
      <c r="CHF231"/>
      <c r="CHG231"/>
      <c r="CHH231"/>
      <c r="CHI231"/>
      <c r="CHJ231"/>
      <c r="CHK231"/>
      <c r="CHL231"/>
      <c r="CHM231"/>
      <c r="CHN231"/>
      <c r="CHO231"/>
      <c r="CHP231"/>
      <c r="CHQ231"/>
      <c r="CHR231"/>
      <c r="CHS231"/>
      <c r="CHT231"/>
      <c r="CHU231"/>
      <c r="CHV231"/>
      <c r="CHW231"/>
      <c r="CHX231"/>
      <c r="CHY231"/>
      <c r="CHZ231"/>
      <c r="CIA231"/>
      <c r="CIB231"/>
      <c r="CIC231"/>
      <c r="CID231"/>
      <c r="CIE231"/>
      <c r="CIF231"/>
      <c r="CIG231"/>
      <c r="CIH231"/>
      <c r="CII231"/>
      <c r="CIJ231"/>
      <c r="CIK231"/>
      <c r="CIL231"/>
      <c r="CIM231"/>
      <c r="CIN231"/>
      <c r="CIO231"/>
      <c r="CIP231"/>
      <c r="CIQ231"/>
      <c r="CIR231"/>
      <c r="CIS231"/>
      <c r="CIT231"/>
      <c r="CIU231"/>
      <c r="CIV231"/>
      <c r="CIW231"/>
      <c r="CIX231"/>
      <c r="CIY231"/>
      <c r="CIZ231"/>
      <c r="CJA231"/>
      <c r="CJB231"/>
      <c r="CJC231"/>
      <c r="CJD231"/>
      <c r="CJE231"/>
      <c r="CJF231"/>
      <c r="CJG231"/>
      <c r="CJH231"/>
      <c r="CJI231"/>
      <c r="CJJ231"/>
      <c r="CJK231"/>
      <c r="CJL231"/>
      <c r="CJM231"/>
      <c r="CJN231"/>
      <c r="CJO231"/>
      <c r="CJP231"/>
      <c r="CJQ231"/>
      <c r="CJR231"/>
      <c r="CJS231"/>
      <c r="CJT231"/>
      <c r="CJU231"/>
      <c r="CJV231"/>
      <c r="CJW231"/>
      <c r="CJX231"/>
      <c r="CJY231"/>
      <c r="CJZ231"/>
      <c r="CKA231"/>
      <c r="CKB231"/>
      <c r="CKC231"/>
      <c r="CKD231"/>
      <c r="CKE231"/>
      <c r="CKF231"/>
      <c r="CKG231"/>
      <c r="CKH231"/>
      <c r="CKI231"/>
      <c r="CKJ231"/>
      <c r="CKK231"/>
      <c r="CKL231"/>
      <c r="CKM231"/>
      <c r="CKN231"/>
      <c r="CKO231"/>
      <c r="CKP231"/>
      <c r="CKQ231"/>
      <c r="CKR231"/>
      <c r="CKS231"/>
      <c r="CKT231"/>
      <c r="CKU231"/>
      <c r="CKV231"/>
      <c r="CKW231"/>
      <c r="CKX231"/>
      <c r="CKY231"/>
      <c r="CKZ231"/>
      <c r="CLA231"/>
      <c r="CLB231"/>
      <c r="CLC231"/>
      <c r="CLD231"/>
      <c r="CLE231"/>
      <c r="CLF231"/>
      <c r="CLG231"/>
      <c r="CLH231"/>
      <c r="CLI231"/>
      <c r="CLJ231"/>
      <c r="CLK231"/>
      <c r="CLL231"/>
      <c r="CLM231"/>
      <c r="CLN231"/>
      <c r="CLO231"/>
      <c r="CLP231"/>
      <c r="CLQ231"/>
      <c r="CLR231"/>
      <c r="CLS231"/>
      <c r="CLT231"/>
      <c r="CLU231"/>
      <c r="CLV231"/>
      <c r="CLW231"/>
      <c r="CLX231"/>
      <c r="CLY231"/>
      <c r="CLZ231"/>
      <c r="CMA231"/>
      <c r="CMB231"/>
      <c r="CMC231"/>
      <c r="CMD231"/>
      <c r="CME231"/>
      <c r="CMF231"/>
      <c r="CMG231"/>
      <c r="CMH231"/>
      <c r="CMI231"/>
      <c r="CMJ231"/>
      <c r="CMK231"/>
      <c r="CML231"/>
      <c r="CMM231"/>
      <c r="CMN231"/>
      <c r="CMO231"/>
      <c r="CMP231"/>
      <c r="CMQ231"/>
      <c r="CMR231"/>
      <c r="CMS231"/>
      <c r="CMT231"/>
      <c r="CMU231"/>
      <c r="CMV231"/>
      <c r="CMW231"/>
      <c r="CMX231"/>
      <c r="CMY231"/>
      <c r="CMZ231"/>
      <c r="CNA231"/>
      <c r="CNB231"/>
      <c r="CNC231"/>
      <c r="CND231"/>
      <c r="CNE231"/>
      <c r="CNF231"/>
      <c r="CNG231"/>
      <c r="CNH231"/>
      <c r="CNI231"/>
      <c r="CNJ231"/>
      <c r="CNK231"/>
      <c r="CNL231"/>
      <c r="CNM231"/>
      <c r="CNN231"/>
      <c r="CNO231"/>
      <c r="CNP231"/>
      <c r="CNQ231"/>
      <c r="CNR231"/>
      <c r="CNS231"/>
      <c r="CNT231"/>
      <c r="CNU231"/>
      <c r="CNV231"/>
      <c r="CNW231"/>
      <c r="CNX231"/>
      <c r="CNY231"/>
      <c r="CNZ231"/>
      <c r="COA231"/>
      <c r="COB231"/>
      <c r="COC231"/>
      <c r="COD231"/>
      <c r="COE231"/>
      <c r="COF231"/>
      <c r="COG231"/>
      <c r="COH231"/>
      <c r="COI231"/>
      <c r="COJ231"/>
      <c r="COK231"/>
      <c r="COL231"/>
      <c r="COM231"/>
      <c r="CON231"/>
      <c r="COO231"/>
      <c r="COP231"/>
      <c r="COQ231"/>
      <c r="COR231"/>
      <c r="COS231"/>
      <c r="COT231"/>
      <c r="COU231"/>
      <c r="COV231"/>
      <c r="COW231"/>
      <c r="COX231"/>
      <c r="COY231"/>
      <c r="COZ231"/>
      <c r="CPA231"/>
      <c r="CPB231"/>
      <c r="CPC231"/>
      <c r="CPD231"/>
      <c r="CPE231"/>
      <c r="CPF231"/>
      <c r="CPG231"/>
      <c r="CPH231"/>
      <c r="CPI231"/>
      <c r="CPJ231"/>
      <c r="CPK231"/>
      <c r="CPL231"/>
      <c r="CPM231"/>
      <c r="CPN231"/>
      <c r="CPO231"/>
      <c r="CPP231"/>
      <c r="CPQ231"/>
      <c r="CPR231"/>
      <c r="CPS231"/>
      <c r="CPT231"/>
      <c r="CPU231"/>
      <c r="CPV231"/>
      <c r="CPW231"/>
      <c r="CPX231"/>
      <c r="CPY231"/>
      <c r="CPZ231"/>
      <c r="CQA231"/>
      <c r="CQB231"/>
      <c r="CQC231"/>
      <c r="CQD231"/>
      <c r="CQE231"/>
      <c r="CQF231"/>
      <c r="CQG231"/>
      <c r="CQH231"/>
      <c r="CQI231"/>
      <c r="CQJ231"/>
      <c r="CQK231"/>
      <c r="CQL231"/>
      <c r="CQM231"/>
      <c r="CQN231"/>
      <c r="CQO231"/>
      <c r="CQP231"/>
      <c r="CQQ231"/>
      <c r="CQR231"/>
      <c r="CQS231"/>
      <c r="CQT231"/>
      <c r="CQU231"/>
      <c r="CQV231"/>
      <c r="CQW231"/>
      <c r="CQX231"/>
      <c r="CQY231"/>
      <c r="CQZ231"/>
      <c r="CRA231"/>
      <c r="CRB231"/>
      <c r="CRC231"/>
      <c r="CRD231"/>
      <c r="CRE231"/>
      <c r="CRF231"/>
      <c r="CRG231"/>
      <c r="CRH231"/>
      <c r="CRI231"/>
      <c r="CRJ231"/>
      <c r="CRK231"/>
      <c r="CRL231"/>
      <c r="CRM231"/>
    </row>
    <row r="232" spans="1:2509" ht="15" thickBot="1" x14ac:dyDescent="0.4">
      <c r="A232" s="306" t="s">
        <v>199</v>
      </c>
      <c r="B232" s="101" t="s">
        <v>200</v>
      </c>
      <c r="C232" s="117">
        <v>27800</v>
      </c>
    </row>
    <row r="233" spans="1:2509" x14ac:dyDescent="0.35">
      <c r="A233" s="307"/>
      <c r="B233" s="52" t="s">
        <v>693</v>
      </c>
      <c r="C233" s="18">
        <v>0</v>
      </c>
      <c r="D233" s="18">
        <v>2000</v>
      </c>
      <c r="E233" s="18">
        <v>4000</v>
      </c>
      <c r="F233" s="18">
        <v>6000</v>
      </c>
      <c r="G233" s="18">
        <v>8000</v>
      </c>
      <c r="H233" s="18">
        <v>10000</v>
      </c>
      <c r="I233" s="18">
        <v>12000</v>
      </c>
      <c r="J233" s="18">
        <v>14000</v>
      </c>
      <c r="K233" s="18">
        <v>16000</v>
      </c>
      <c r="L233" s="18">
        <v>18000</v>
      </c>
      <c r="M233" s="18">
        <v>20000</v>
      </c>
      <c r="N233" s="18">
        <v>22000</v>
      </c>
      <c r="O233" s="18">
        <v>24000</v>
      </c>
      <c r="P233" s="18">
        <v>26000</v>
      </c>
      <c r="Q233" s="18">
        <v>28000</v>
      </c>
      <c r="R233" s="104"/>
      <c r="S233" s="104"/>
      <c r="T233" s="104"/>
      <c r="U233" s="104"/>
      <c r="V233" s="104"/>
      <c r="W233" s="104"/>
      <c r="X233" s="104"/>
      <c r="Y233" s="104"/>
      <c r="Z233" s="104"/>
      <c r="AA233" s="104"/>
      <c r="AB233" s="104"/>
      <c r="AC233" s="104"/>
      <c r="AD233" s="104"/>
      <c r="AE233" s="104"/>
      <c r="AF233" s="104"/>
      <c r="AG233" s="104"/>
      <c r="AH233" s="104"/>
      <c r="AI233" s="104"/>
      <c r="AJ233" s="104"/>
      <c r="AK233" s="105"/>
    </row>
    <row r="234" spans="1:2509" ht="15" thickBot="1" x14ac:dyDescent="0.4">
      <c r="A234" s="307"/>
      <c r="B234" s="52" t="s">
        <v>201</v>
      </c>
      <c r="C234" s="15">
        <v>0</v>
      </c>
      <c r="D234" s="120">
        <v>50.974299999999999</v>
      </c>
      <c r="E234" s="120">
        <v>81.209999999999994</v>
      </c>
      <c r="F234" s="120">
        <v>91.316500000000005</v>
      </c>
      <c r="G234" s="120">
        <v>96.382300000000001</v>
      </c>
      <c r="H234" s="120">
        <v>109.46</v>
      </c>
      <c r="I234" s="120">
        <v>123.422</v>
      </c>
      <c r="J234" s="120">
        <v>148.17099999999999</v>
      </c>
      <c r="K234" s="120">
        <v>204.22300000000001</v>
      </c>
      <c r="L234" s="120">
        <v>216.291</v>
      </c>
      <c r="M234" s="120">
        <v>216.291</v>
      </c>
      <c r="N234" s="120">
        <v>216.291</v>
      </c>
      <c r="O234" s="120">
        <v>216.291</v>
      </c>
      <c r="P234" s="120">
        <v>216.291</v>
      </c>
      <c r="Q234" s="120">
        <v>216.291</v>
      </c>
      <c r="R234" s="122"/>
      <c r="S234" s="122"/>
      <c r="T234" s="122"/>
      <c r="U234" s="122"/>
      <c r="V234" s="122"/>
      <c r="W234" s="122"/>
      <c r="X234" s="122"/>
      <c r="Y234" s="122"/>
      <c r="Z234" s="122"/>
      <c r="AA234" s="122"/>
      <c r="AB234" s="122"/>
      <c r="AC234" s="122"/>
      <c r="AD234" s="122"/>
      <c r="AE234" s="122"/>
      <c r="AF234" s="122"/>
      <c r="AG234" s="122"/>
      <c r="AH234" s="122"/>
      <c r="AI234" s="122"/>
      <c r="AJ234" s="122"/>
      <c r="AK234" s="123"/>
      <c r="AL234" s="106"/>
      <c r="AM234" s="107"/>
    </row>
    <row r="235" spans="1:2509" ht="15" thickBot="1" x14ac:dyDescent="0.4">
      <c r="A235" s="307"/>
      <c r="B235" s="101" t="s">
        <v>202</v>
      </c>
      <c r="C235" s="117">
        <v>14500</v>
      </c>
    </row>
    <row r="236" spans="1:2509" x14ac:dyDescent="0.35">
      <c r="A236" s="307"/>
      <c r="B236" s="52" t="s">
        <v>694</v>
      </c>
      <c r="C236" s="18">
        <v>0</v>
      </c>
      <c r="D236" s="18">
        <v>500</v>
      </c>
      <c r="E236" s="18">
        <v>1000</v>
      </c>
      <c r="F236" s="18">
        <v>1500</v>
      </c>
      <c r="G236" s="18">
        <v>2000</v>
      </c>
      <c r="H236" s="18">
        <v>2500</v>
      </c>
      <c r="I236" s="18">
        <v>3000</v>
      </c>
      <c r="J236" s="18">
        <v>3500</v>
      </c>
      <c r="K236" s="18">
        <v>4000</v>
      </c>
      <c r="L236" s="18">
        <v>4500</v>
      </c>
      <c r="M236" s="18">
        <v>5000</v>
      </c>
      <c r="N236" s="18">
        <v>5500</v>
      </c>
      <c r="O236" s="18">
        <v>6000</v>
      </c>
      <c r="P236" s="18">
        <v>6500</v>
      </c>
      <c r="Q236" s="18">
        <v>7000</v>
      </c>
      <c r="R236" s="104">
        <v>7500</v>
      </c>
      <c r="S236" s="104">
        <v>8000</v>
      </c>
      <c r="T236" s="104">
        <v>8500</v>
      </c>
      <c r="U236" s="104">
        <v>9000</v>
      </c>
      <c r="V236" s="104">
        <v>9500</v>
      </c>
      <c r="W236" s="104">
        <v>10000</v>
      </c>
      <c r="X236" s="104">
        <v>10500</v>
      </c>
      <c r="Y236" s="104">
        <v>11000</v>
      </c>
      <c r="Z236" s="104">
        <v>11500</v>
      </c>
      <c r="AA236" s="104">
        <v>12000</v>
      </c>
      <c r="AB236" s="104">
        <v>12500</v>
      </c>
      <c r="AC236" s="104">
        <v>13000</v>
      </c>
      <c r="AD236" s="104">
        <v>13500</v>
      </c>
      <c r="AE236" s="104">
        <v>14000</v>
      </c>
      <c r="AF236" s="104">
        <v>14500</v>
      </c>
      <c r="AG236" s="104"/>
      <c r="AH236" s="104"/>
      <c r="AI236" s="104"/>
      <c r="AJ236" s="104"/>
      <c r="AK236" s="105"/>
    </row>
    <row r="237" spans="1:2509" ht="15" thickBot="1" x14ac:dyDescent="0.4">
      <c r="A237" s="307"/>
      <c r="B237" s="52" t="s">
        <v>203</v>
      </c>
      <c r="C237" s="21">
        <v>0</v>
      </c>
      <c r="D237" s="110">
        <v>10.7961939</v>
      </c>
      <c r="E237" s="110">
        <v>41.488762601200001</v>
      </c>
      <c r="F237" s="110">
        <v>69.589806560000014</v>
      </c>
      <c r="G237" s="110">
        <v>94.812562189999994</v>
      </c>
      <c r="H237" s="110">
        <v>106.66908508867104</v>
      </c>
      <c r="I237" s="110">
        <v>119.606988</v>
      </c>
      <c r="J237" s="110">
        <v>140.56757997980003</v>
      </c>
      <c r="K237" s="110">
        <v>158.59254590300003</v>
      </c>
      <c r="L237" s="110">
        <v>179.93148888900004</v>
      </c>
      <c r="M237" s="110">
        <v>202.89101044029999</v>
      </c>
      <c r="N237" s="110">
        <v>214.78473021100001</v>
      </c>
      <c r="O237" s="110">
        <v>224.11729660400007</v>
      </c>
      <c r="P237" s="110">
        <v>224.4862273680001</v>
      </c>
      <c r="Q237" s="110">
        <v>224.4862273680001</v>
      </c>
      <c r="R237" s="77">
        <v>224.4862273680001</v>
      </c>
      <c r="S237" s="77">
        <v>224.4862273680001</v>
      </c>
      <c r="T237" s="77">
        <v>224.4862273680001</v>
      </c>
      <c r="U237" s="77">
        <v>224.4862273680001</v>
      </c>
      <c r="V237" s="77">
        <v>224.4862273680001</v>
      </c>
      <c r="W237" s="77">
        <v>224.4862273680001</v>
      </c>
      <c r="X237" s="77">
        <v>224.4862273680001</v>
      </c>
      <c r="Y237" s="77">
        <v>224.4862273680001</v>
      </c>
      <c r="Z237" s="77">
        <v>224.4862273680001</v>
      </c>
      <c r="AA237" s="77">
        <v>224.4862273680001</v>
      </c>
      <c r="AB237" s="77">
        <v>224.4862273680001</v>
      </c>
      <c r="AC237" s="77">
        <v>224.4862273680001</v>
      </c>
      <c r="AD237" s="77">
        <v>224.4862273680001</v>
      </c>
      <c r="AE237" s="77">
        <v>224.4862273680001</v>
      </c>
      <c r="AF237" s="77">
        <v>224.4862273680001</v>
      </c>
      <c r="AG237" s="77"/>
      <c r="AH237" s="77"/>
      <c r="AI237" s="77"/>
      <c r="AJ237" s="77"/>
      <c r="AK237" s="78"/>
      <c r="AL237" s="106"/>
      <c r="AM237" s="107"/>
    </row>
    <row r="238" spans="1:2509" ht="15" thickBot="1" x14ac:dyDescent="0.4">
      <c r="A238" s="307"/>
      <c r="B238" s="101" t="s">
        <v>204</v>
      </c>
      <c r="C238" s="117">
        <v>22500</v>
      </c>
    </row>
    <row r="239" spans="1:2509" x14ac:dyDescent="0.35">
      <c r="A239" s="307"/>
      <c r="B239" s="52" t="s">
        <v>695</v>
      </c>
      <c r="C239" s="18">
        <v>0</v>
      </c>
      <c r="D239" s="18">
        <v>1500</v>
      </c>
      <c r="E239" s="18">
        <v>3000</v>
      </c>
      <c r="F239" s="18">
        <v>4500</v>
      </c>
      <c r="G239" s="18">
        <v>6000</v>
      </c>
      <c r="H239" s="18">
        <v>7500</v>
      </c>
      <c r="I239" s="18">
        <v>9000</v>
      </c>
      <c r="J239" s="18">
        <v>10500</v>
      </c>
      <c r="K239" s="18">
        <v>12000</v>
      </c>
      <c r="L239" s="18">
        <v>13500</v>
      </c>
      <c r="M239" s="18">
        <v>15000</v>
      </c>
      <c r="N239" s="18">
        <v>16500</v>
      </c>
      <c r="O239" s="18">
        <v>18000</v>
      </c>
      <c r="P239" s="18">
        <v>19500</v>
      </c>
      <c r="Q239" s="18">
        <v>21000</v>
      </c>
      <c r="R239" s="104">
        <v>22500</v>
      </c>
      <c r="S239" s="104"/>
      <c r="T239" s="104"/>
      <c r="U239" s="104"/>
      <c r="V239" s="104"/>
      <c r="W239" s="104"/>
      <c r="X239" s="104"/>
      <c r="Y239" s="104"/>
      <c r="Z239" s="104"/>
      <c r="AA239" s="104"/>
      <c r="AB239" s="104"/>
      <c r="AC239" s="104"/>
      <c r="AD239" s="104"/>
      <c r="AE239" s="104"/>
      <c r="AF239" s="104"/>
      <c r="AG239" s="104"/>
      <c r="AH239" s="104"/>
      <c r="AI239" s="104"/>
      <c r="AJ239" s="104"/>
      <c r="AK239" s="105"/>
    </row>
    <row r="240" spans="1:2509" ht="15" thickBot="1" x14ac:dyDescent="0.4">
      <c r="A240" s="307"/>
      <c r="B240" s="52" t="s">
        <v>205</v>
      </c>
      <c r="C240" s="21">
        <v>0</v>
      </c>
      <c r="D240" s="110">
        <v>45.806759800000002</v>
      </c>
      <c r="E240" s="110">
        <v>101.45721979999999</v>
      </c>
      <c r="F240" s="110">
        <v>129.918137083</v>
      </c>
      <c r="G240" s="110">
        <v>129.918137083</v>
      </c>
      <c r="H240" s="110">
        <v>129.918137083</v>
      </c>
      <c r="I240" s="110">
        <v>140.66041522999998</v>
      </c>
      <c r="J240" s="110">
        <v>172.65528881379996</v>
      </c>
      <c r="K240" s="110">
        <v>210.75409942999997</v>
      </c>
      <c r="L240" s="110">
        <v>245.94171830000005</v>
      </c>
      <c r="M240" s="110">
        <v>245.94171830000005</v>
      </c>
      <c r="N240" s="110">
        <v>245.94171830000005</v>
      </c>
      <c r="O240" s="110">
        <v>245.94171830000005</v>
      </c>
      <c r="P240" s="110">
        <v>245.94171830000005</v>
      </c>
      <c r="Q240" s="110">
        <v>245.94171830000005</v>
      </c>
      <c r="R240" s="77">
        <v>245.94171830000005</v>
      </c>
      <c r="S240" s="77"/>
      <c r="T240" s="77"/>
      <c r="U240" s="77"/>
      <c r="V240" s="77"/>
      <c r="W240" s="77"/>
      <c r="X240" s="77"/>
      <c r="Y240" s="77"/>
      <c r="Z240" s="77"/>
      <c r="AA240" s="77"/>
      <c r="AB240" s="77"/>
      <c r="AC240" s="77"/>
      <c r="AD240" s="77"/>
      <c r="AE240" s="77"/>
      <c r="AF240" s="77"/>
      <c r="AG240" s="77"/>
      <c r="AH240" s="77"/>
      <c r="AI240" s="77"/>
      <c r="AJ240" s="77"/>
      <c r="AK240" s="78"/>
      <c r="AL240" s="106"/>
      <c r="AM240" s="107"/>
    </row>
    <row r="241" spans="1:2509" ht="15" thickBot="1" x14ac:dyDescent="0.4">
      <c r="A241" s="307"/>
      <c r="B241" s="101" t="s">
        <v>206</v>
      </c>
      <c r="C241" s="117">
        <v>31500</v>
      </c>
    </row>
    <row r="242" spans="1:2509" x14ac:dyDescent="0.35">
      <c r="A242" s="307"/>
      <c r="B242" s="52" t="s">
        <v>696</v>
      </c>
      <c r="C242" s="18">
        <v>0</v>
      </c>
      <c r="D242" s="18">
        <v>1500</v>
      </c>
      <c r="E242" s="18">
        <v>3000</v>
      </c>
      <c r="F242" s="18">
        <v>4500</v>
      </c>
      <c r="G242" s="18">
        <v>6000</v>
      </c>
      <c r="H242" s="18">
        <v>7500</v>
      </c>
      <c r="I242" s="18">
        <v>9000</v>
      </c>
      <c r="J242" s="18">
        <v>10500</v>
      </c>
      <c r="K242" s="18">
        <v>12000</v>
      </c>
      <c r="L242" s="18">
        <v>13500</v>
      </c>
      <c r="M242" s="18">
        <v>15000</v>
      </c>
      <c r="N242" s="18">
        <v>16500</v>
      </c>
      <c r="O242" s="18">
        <v>18000</v>
      </c>
      <c r="P242" s="18">
        <v>19500</v>
      </c>
      <c r="Q242" s="18">
        <v>21000</v>
      </c>
      <c r="R242" s="104">
        <v>22500</v>
      </c>
      <c r="S242" s="104">
        <v>24000</v>
      </c>
      <c r="T242" s="104">
        <v>25500</v>
      </c>
      <c r="U242" s="104">
        <v>27000</v>
      </c>
      <c r="V242" s="104">
        <v>28500</v>
      </c>
      <c r="W242" s="104">
        <v>30000</v>
      </c>
      <c r="X242" s="104">
        <v>31500</v>
      </c>
      <c r="Y242" s="104"/>
      <c r="Z242" s="104"/>
      <c r="AA242" s="104"/>
      <c r="AB242" s="104"/>
      <c r="AC242" s="104"/>
      <c r="AD242" s="104"/>
      <c r="AE242" s="104"/>
      <c r="AF242" s="104"/>
      <c r="AG242" s="104"/>
      <c r="AH242" s="104"/>
      <c r="AI242" s="104"/>
      <c r="AJ242" s="104"/>
      <c r="AK242" s="105"/>
    </row>
    <row r="243" spans="1:2509" s="12" customFormat="1" ht="15" thickBot="1" x14ac:dyDescent="0.4">
      <c r="A243" s="307"/>
      <c r="B243" s="52" t="s">
        <v>207</v>
      </c>
      <c r="C243" s="21">
        <v>0</v>
      </c>
      <c r="D243" s="110">
        <v>49.7354913</v>
      </c>
      <c r="E243" s="110">
        <v>91.20222852385001</v>
      </c>
      <c r="F243" s="110">
        <v>93.953281509999997</v>
      </c>
      <c r="G243" s="110">
        <v>120.98636085000001</v>
      </c>
      <c r="H243" s="110">
        <v>142.60428580609999</v>
      </c>
      <c r="I243" s="110">
        <v>157.27527196899999</v>
      </c>
      <c r="J243" s="110">
        <v>170.16619920999997</v>
      </c>
      <c r="K243" s="110">
        <v>187.20167642000001</v>
      </c>
      <c r="L243" s="110">
        <v>198.71934311599998</v>
      </c>
      <c r="M243" s="110">
        <v>213.61074611700002</v>
      </c>
      <c r="N243" s="110">
        <v>228.50740735999997</v>
      </c>
      <c r="O243" s="110">
        <v>252.19601094800001</v>
      </c>
      <c r="P243" s="110">
        <v>264.94099527149996</v>
      </c>
      <c r="Q243" s="110">
        <v>272.12373009100003</v>
      </c>
      <c r="R243" s="77">
        <v>274.87091482169996</v>
      </c>
      <c r="S243" s="77">
        <v>274.87091482169996</v>
      </c>
      <c r="T243" s="77">
        <v>274.87091482169996</v>
      </c>
      <c r="U243" s="77">
        <v>274.87091482169996</v>
      </c>
      <c r="V243" s="77">
        <v>274.87091482169996</v>
      </c>
      <c r="W243" s="77">
        <v>274.87091482169996</v>
      </c>
      <c r="X243" s="77">
        <v>274.87091482169996</v>
      </c>
      <c r="Y243" s="77"/>
      <c r="Z243" s="77"/>
      <c r="AA243" s="77"/>
      <c r="AB243" s="77"/>
      <c r="AC243" s="77"/>
      <c r="AD243" s="77"/>
      <c r="AE243" s="77"/>
      <c r="AF243" s="77"/>
      <c r="AG243" s="77"/>
      <c r="AH243" s="77"/>
      <c r="AI243" s="77"/>
      <c r="AJ243" s="77"/>
      <c r="AK243" s="78"/>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c r="LQ243"/>
      <c r="LR243"/>
      <c r="LS243"/>
      <c r="LT243"/>
      <c r="LU243"/>
      <c r="LV243"/>
      <c r="LW243"/>
      <c r="LX243"/>
      <c r="LY243"/>
      <c r="LZ243"/>
      <c r="MA243"/>
      <c r="MB243"/>
      <c r="MC243"/>
      <c r="MD243"/>
      <c r="ME243"/>
      <c r="MF243"/>
      <c r="MG243"/>
      <c r="MH243"/>
      <c r="MI243"/>
      <c r="MJ243"/>
      <c r="MK243"/>
      <c r="ML243"/>
      <c r="MM243"/>
      <c r="MN243"/>
      <c r="MO243"/>
      <c r="MP243"/>
      <c r="MQ243"/>
      <c r="MR243"/>
      <c r="MS243"/>
      <c r="MT243"/>
      <c r="MU243"/>
      <c r="MV243"/>
      <c r="MW243"/>
      <c r="MX243"/>
      <c r="MY243"/>
      <c r="MZ243"/>
      <c r="NA243"/>
      <c r="NB243"/>
      <c r="NC243"/>
      <c r="ND243"/>
      <c r="NE243"/>
      <c r="NF243"/>
      <c r="NG243"/>
      <c r="NH243"/>
      <c r="NI243"/>
      <c r="NJ243"/>
      <c r="NK243"/>
      <c r="NL243"/>
      <c r="NM243"/>
      <c r="NN243"/>
      <c r="NO243"/>
      <c r="NP243"/>
      <c r="NQ243"/>
      <c r="NR243"/>
      <c r="NS243"/>
      <c r="NT243"/>
      <c r="NU243"/>
      <c r="NV243"/>
      <c r="NW243"/>
      <c r="NX243"/>
      <c r="NY243"/>
      <c r="NZ243"/>
      <c r="OA243"/>
      <c r="OB243"/>
      <c r="OC243"/>
      <c r="OD243"/>
      <c r="OE243"/>
      <c r="OF243"/>
      <c r="OG243"/>
      <c r="OH243"/>
      <c r="OI243"/>
      <c r="OJ243"/>
      <c r="OK243"/>
      <c r="OL243"/>
      <c r="OM243"/>
      <c r="ON243"/>
      <c r="OO243"/>
      <c r="OP243"/>
      <c r="OQ243"/>
      <c r="OR243"/>
      <c r="OS243"/>
      <c r="OT243"/>
      <c r="OU243"/>
      <c r="OV243"/>
      <c r="OW243"/>
      <c r="OX243"/>
      <c r="OY243"/>
      <c r="OZ243"/>
      <c r="PA243"/>
      <c r="PB243"/>
      <c r="PC243"/>
      <c r="PD243"/>
      <c r="PE243"/>
      <c r="PF243"/>
      <c r="PG243"/>
      <c r="PH243"/>
      <c r="PI243"/>
      <c r="PJ243"/>
      <c r="PK243"/>
      <c r="PL243"/>
      <c r="PM243"/>
      <c r="PN243"/>
      <c r="PO243"/>
      <c r="PP243"/>
      <c r="PQ243"/>
      <c r="PR243"/>
      <c r="PS243"/>
      <c r="PT243"/>
      <c r="PU243"/>
      <c r="PV243"/>
      <c r="PW243"/>
      <c r="PX243"/>
      <c r="PY243"/>
      <c r="PZ243"/>
      <c r="QA243"/>
      <c r="QB243"/>
      <c r="QC243"/>
      <c r="QD243"/>
      <c r="QE243"/>
      <c r="QF243"/>
      <c r="QG243"/>
      <c r="QH243"/>
      <c r="QI243"/>
      <c r="QJ243"/>
      <c r="QK243"/>
      <c r="QL243"/>
      <c r="QM243"/>
      <c r="QN243"/>
      <c r="QO243"/>
      <c r="QP243"/>
      <c r="QQ243"/>
      <c r="QR243"/>
      <c r="QS243"/>
      <c r="QT243"/>
      <c r="QU243"/>
      <c r="QV243"/>
      <c r="QW243"/>
      <c r="QX243"/>
      <c r="QY243"/>
      <c r="QZ243"/>
      <c r="RA243"/>
      <c r="RB243"/>
      <c r="RC243"/>
      <c r="RD243"/>
      <c r="RE243"/>
      <c r="RF243"/>
      <c r="RG243"/>
      <c r="RH243"/>
      <c r="RI243"/>
      <c r="RJ243"/>
      <c r="RK243"/>
      <c r="RL243"/>
      <c r="RM243"/>
      <c r="RN243"/>
      <c r="RO243"/>
      <c r="RP243"/>
      <c r="RQ243"/>
      <c r="RR243"/>
      <c r="RS243"/>
      <c r="RT243"/>
      <c r="RU243"/>
      <c r="RV243"/>
      <c r="RW243"/>
      <c r="RX243"/>
      <c r="RY243"/>
      <c r="RZ243"/>
      <c r="SA243"/>
      <c r="SB243"/>
      <c r="SC243"/>
      <c r="SD243"/>
      <c r="SE243"/>
      <c r="SF243"/>
      <c r="SG243"/>
      <c r="SH243"/>
      <c r="SI243"/>
      <c r="SJ243"/>
      <c r="SK243"/>
      <c r="SL243"/>
      <c r="SM243"/>
      <c r="SN243"/>
      <c r="SO243"/>
      <c r="SP243"/>
      <c r="SQ243"/>
      <c r="SR243"/>
      <c r="SS243"/>
      <c r="ST243"/>
      <c r="SU243"/>
      <c r="SV243"/>
      <c r="SW243"/>
      <c r="SX243"/>
      <c r="SY243"/>
      <c r="SZ243"/>
      <c r="TA243"/>
      <c r="TB243"/>
      <c r="TC243"/>
      <c r="TD243"/>
      <c r="TE243"/>
      <c r="TF243"/>
      <c r="TG243"/>
      <c r="TH243"/>
      <c r="TI243"/>
      <c r="TJ243"/>
      <c r="TK243"/>
      <c r="TL243"/>
      <c r="TM243"/>
      <c r="TN243"/>
      <c r="TO243"/>
      <c r="TP243"/>
      <c r="TQ243"/>
      <c r="TR243"/>
      <c r="TS243"/>
      <c r="TT243"/>
      <c r="TU243"/>
      <c r="TV243"/>
      <c r="TW243"/>
      <c r="TX243"/>
      <c r="TY243"/>
      <c r="TZ243"/>
      <c r="UA243"/>
      <c r="UB243"/>
      <c r="UC243"/>
      <c r="UD243"/>
      <c r="UE243"/>
      <c r="UF243"/>
      <c r="UG243"/>
      <c r="UH243"/>
      <c r="UI243"/>
      <c r="UJ243"/>
      <c r="UK243"/>
      <c r="UL243"/>
      <c r="UM243"/>
      <c r="UN243"/>
      <c r="UO243"/>
      <c r="UP243"/>
      <c r="UQ243"/>
      <c r="UR243"/>
      <c r="US243"/>
      <c r="UT243"/>
      <c r="UU243"/>
      <c r="UV243"/>
      <c r="UW243"/>
      <c r="UX243"/>
      <c r="UY243"/>
      <c r="UZ243"/>
      <c r="VA243"/>
      <c r="VB243"/>
      <c r="VC243"/>
      <c r="VD243"/>
      <c r="VE243"/>
      <c r="VF243"/>
      <c r="VG243"/>
      <c r="VH243"/>
      <c r="VI243"/>
      <c r="VJ243"/>
      <c r="VK243"/>
      <c r="VL243"/>
      <c r="VM243"/>
      <c r="VN243"/>
      <c r="VO243"/>
      <c r="VP243"/>
      <c r="VQ243"/>
      <c r="VR243"/>
      <c r="VS243"/>
      <c r="VT243"/>
      <c r="VU243"/>
      <c r="VV243"/>
      <c r="VW243"/>
      <c r="VX243"/>
      <c r="VY243"/>
      <c r="VZ243"/>
      <c r="WA243"/>
      <c r="WB243"/>
      <c r="WC243"/>
      <c r="WD243"/>
      <c r="WE243"/>
      <c r="WF243"/>
      <c r="WG243"/>
      <c r="WH243"/>
      <c r="WI243"/>
      <c r="WJ243"/>
      <c r="WK243"/>
      <c r="WL243"/>
      <c r="WM243"/>
      <c r="WN243"/>
      <c r="WO243"/>
      <c r="WP243"/>
      <c r="WQ243"/>
      <c r="WR243"/>
      <c r="WS243"/>
      <c r="WT243"/>
      <c r="WU243"/>
      <c r="WV243"/>
      <c r="WW243"/>
      <c r="WX243"/>
      <c r="WY243"/>
      <c r="WZ243"/>
      <c r="XA243"/>
      <c r="XB243"/>
      <c r="XC243"/>
      <c r="XD243"/>
      <c r="XE243"/>
      <c r="XF243"/>
      <c r="XG243"/>
      <c r="XH243"/>
      <c r="XI243"/>
      <c r="XJ243"/>
      <c r="XK243"/>
      <c r="XL243"/>
      <c r="XM243"/>
      <c r="XN243"/>
      <c r="XO243"/>
      <c r="XP243"/>
      <c r="XQ243"/>
      <c r="XR243"/>
      <c r="XS243"/>
      <c r="XT243"/>
      <c r="XU243"/>
      <c r="XV243"/>
      <c r="XW243"/>
      <c r="XX243"/>
      <c r="XY243"/>
      <c r="XZ243"/>
      <c r="YA243"/>
      <c r="YB243"/>
      <c r="YC243"/>
      <c r="YD243"/>
      <c r="YE243"/>
      <c r="YF243"/>
      <c r="YG243"/>
      <c r="YH243"/>
      <c r="YI243"/>
      <c r="YJ243"/>
      <c r="YK243"/>
      <c r="YL243"/>
      <c r="YM243"/>
      <c r="YN243"/>
      <c r="YO243"/>
      <c r="YP243"/>
      <c r="YQ243"/>
      <c r="YR243"/>
      <c r="YS243"/>
      <c r="YT243"/>
      <c r="YU243"/>
      <c r="YV243"/>
      <c r="YW243"/>
      <c r="YX243"/>
      <c r="YY243"/>
      <c r="YZ243"/>
      <c r="ZA243"/>
      <c r="ZB243"/>
      <c r="ZC243"/>
      <c r="ZD243"/>
      <c r="ZE243"/>
      <c r="ZF243"/>
      <c r="ZG243"/>
      <c r="ZH243"/>
      <c r="ZI243"/>
      <c r="ZJ243"/>
      <c r="ZK243"/>
      <c r="ZL243"/>
      <c r="ZM243"/>
      <c r="ZN243"/>
      <c r="ZO243"/>
      <c r="ZP243"/>
      <c r="ZQ243"/>
      <c r="ZR243"/>
      <c r="ZS243"/>
      <c r="ZT243"/>
      <c r="ZU243"/>
      <c r="ZV243"/>
      <c r="ZW243"/>
      <c r="ZX243"/>
      <c r="ZY243"/>
      <c r="ZZ243"/>
      <c r="AAA243"/>
      <c r="AAB243"/>
      <c r="AAC243"/>
      <c r="AAD243"/>
      <c r="AAE243"/>
      <c r="AAF243"/>
      <c r="AAG243"/>
      <c r="AAH243"/>
      <c r="AAI243"/>
      <c r="AAJ243"/>
      <c r="AAK243"/>
      <c r="AAL243"/>
      <c r="AAM243"/>
      <c r="AAN243"/>
      <c r="AAO243"/>
      <c r="AAP243"/>
      <c r="AAQ243"/>
      <c r="AAR243"/>
      <c r="AAS243"/>
      <c r="AAT243"/>
      <c r="AAU243"/>
      <c r="AAV243"/>
      <c r="AAW243"/>
      <c r="AAX243"/>
      <c r="AAY243"/>
      <c r="AAZ243"/>
      <c r="ABA243"/>
      <c r="ABB243"/>
      <c r="ABC243"/>
      <c r="ABD243"/>
      <c r="ABE243"/>
      <c r="ABF243"/>
      <c r="ABG243"/>
      <c r="ABH243"/>
      <c r="ABI243"/>
      <c r="ABJ243"/>
      <c r="ABK243"/>
      <c r="ABL243"/>
      <c r="ABM243"/>
      <c r="ABN243"/>
      <c r="ABO243"/>
      <c r="ABP243"/>
      <c r="ABQ243"/>
      <c r="ABR243"/>
      <c r="ABS243"/>
      <c r="ABT243"/>
      <c r="ABU243"/>
      <c r="ABV243"/>
      <c r="ABW243"/>
      <c r="ABX243"/>
      <c r="ABY243"/>
      <c r="ABZ243"/>
      <c r="ACA243"/>
      <c r="ACB243"/>
      <c r="ACC243"/>
      <c r="ACD243"/>
      <c r="ACE243"/>
      <c r="ACF243"/>
      <c r="ACG243"/>
      <c r="ACH243"/>
      <c r="ACI243"/>
      <c r="ACJ243"/>
      <c r="ACK243"/>
      <c r="ACL243"/>
      <c r="ACM243"/>
      <c r="ACN243"/>
      <c r="ACO243"/>
      <c r="ACP243"/>
      <c r="ACQ243"/>
      <c r="ACR243"/>
      <c r="ACS243"/>
      <c r="ACT243"/>
      <c r="ACU243"/>
      <c r="ACV243"/>
      <c r="ACW243"/>
      <c r="ACX243"/>
      <c r="ACY243"/>
      <c r="ACZ243"/>
      <c r="ADA243"/>
      <c r="ADB243"/>
      <c r="ADC243"/>
      <c r="ADD243"/>
      <c r="ADE243"/>
      <c r="ADF243"/>
      <c r="ADG243"/>
      <c r="ADH243"/>
      <c r="ADI243"/>
      <c r="ADJ243"/>
      <c r="ADK243"/>
      <c r="ADL243"/>
      <c r="ADM243"/>
      <c r="ADN243"/>
      <c r="ADO243"/>
      <c r="ADP243"/>
      <c r="ADQ243"/>
      <c r="ADR243"/>
      <c r="ADS243"/>
      <c r="ADT243"/>
      <c r="ADU243"/>
      <c r="ADV243"/>
      <c r="ADW243"/>
      <c r="ADX243"/>
      <c r="ADY243"/>
      <c r="ADZ243"/>
      <c r="AEA243"/>
      <c r="AEB243"/>
      <c r="AEC243"/>
      <c r="AED243"/>
      <c r="AEE243"/>
      <c r="AEF243"/>
      <c r="AEG243"/>
      <c r="AEH243"/>
      <c r="AEI243"/>
      <c r="AEJ243"/>
      <c r="AEK243"/>
      <c r="AEL243"/>
      <c r="AEM243"/>
      <c r="AEN243"/>
      <c r="AEO243"/>
      <c r="AEP243"/>
      <c r="AEQ243"/>
      <c r="AER243"/>
      <c r="AES243"/>
      <c r="AET243"/>
      <c r="AEU243"/>
      <c r="AEV243"/>
      <c r="AEW243"/>
      <c r="AEX243"/>
      <c r="AEY243"/>
      <c r="AEZ243"/>
      <c r="AFA243"/>
      <c r="AFB243"/>
      <c r="AFC243"/>
      <c r="AFD243"/>
      <c r="AFE243"/>
      <c r="AFF243"/>
      <c r="AFG243"/>
      <c r="AFH243"/>
      <c r="AFI243"/>
      <c r="AFJ243"/>
      <c r="AFK243"/>
      <c r="AFL243"/>
      <c r="AFM243"/>
      <c r="AFN243"/>
      <c r="AFO243"/>
      <c r="AFP243"/>
      <c r="AFQ243"/>
      <c r="AFR243"/>
      <c r="AFS243"/>
      <c r="AFT243"/>
      <c r="AFU243"/>
      <c r="AFV243"/>
      <c r="AFW243"/>
      <c r="AFX243"/>
      <c r="AFY243"/>
      <c r="AFZ243"/>
      <c r="AGA243"/>
      <c r="AGB243"/>
      <c r="AGC243"/>
      <c r="AGD243"/>
      <c r="AGE243"/>
      <c r="AGF243"/>
      <c r="AGG243"/>
      <c r="AGH243"/>
      <c r="AGI243"/>
      <c r="AGJ243"/>
      <c r="AGK243"/>
      <c r="AGL243"/>
      <c r="AGM243"/>
      <c r="AGN243"/>
      <c r="AGO243"/>
      <c r="AGP243"/>
      <c r="AGQ243"/>
      <c r="AGR243"/>
      <c r="AGS243"/>
      <c r="AGT243"/>
      <c r="AGU243"/>
      <c r="AGV243"/>
      <c r="AGW243"/>
      <c r="AGX243"/>
      <c r="AGY243"/>
      <c r="AGZ243"/>
      <c r="AHA243"/>
      <c r="AHB243"/>
      <c r="AHC243"/>
      <c r="AHD243"/>
      <c r="AHE243"/>
      <c r="AHF243"/>
      <c r="AHG243"/>
      <c r="AHH243"/>
      <c r="AHI243"/>
      <c r="AHJ243"/>
      <c r="AHK243"/>
      <c r="AHL243"/>
      <c r="AHM243"/>
      <c r="AHN243"/>
      <c r="AHO243"/>
      <c r="AHP243"/>
      <c r="AHQ243"/>
      <c r="AHR243"/>
      <c r="AHS243"/>
      <c r="AHT243"/>
      <c r="AHU243"/>
      <c r="AHV243"/>
      <c r="AHW243"/>
      <c r="AHX243"/>
      <c r="AHY243"/>
      <c r="AHZ243"/>
      <c r="AIA243"/>
      <c r="AIB243"/>
      <c r="AIC243"/>
      <c r="AID243"/>
      <c r="AIE243"/>
      <c r="AIF243"/>
      <c r="AIG243"/>
      <c r="AIH243"/>
      <c r="AII243"/>
      <c r="AIJ243"/>
      <c r="AIK243"/>
      <c r="AIL243"/>
      <c r="AIM243"/>
      <c r="AIN243"/>
      <c r="AIO243"/>
      <c r="AIP243"/>
      <c r="AIQ243"/>
      <c r="AIR243"/>
      <c r="AIS243"/>
      <c r="AIT243"/>
      <c r="AIU243"/>
      <c r="AIV243"/>
      <c r="AIW243"/>
      <c r="AIX243"/>
      <c r="AIY243"/>
      <c r="AIZ243"/>
      <c r="AJA243"/>
      <c r="AJB243"/>
      <c r="AJC243"/>
      <c r="AJD243"/>
      <c r="AJE243"/>
      <c r="AJF243"/>
      <c r="AJG243"/>
      <c r="AJH243"/>
      <c r="AJI243"/>
      <c r="AJJ243"/>
      <c r="AJK243"/>
      <c r="AJL243"/>
      <c r="AJM243"/>
      <c r="AJN243"/>
      <c r="AJO243"/>
      <c r="AJP243"/>
      <c r="AJQ243"/>
      <c r="AJR243"/>
      <c r="AJS243"/>
      <c r="AJT243"/>
      <c r="AJU243"/>
      <c r="AJV243"/>
      <c r="AJW243"/>
      <c r="AJX243"/>
      <c r="AJY243"/>
      <c r="AJZ243"/>
      <c r="AKA243"/>
      <c r="AKB243"/>
      <c r="AKC243"/>
      <c r="AKD243"/>
      <c r="AKE243"/>
      <c r="AKF243"/>
      <c r="AKG243"/>
      <c r="AKH243"/>
      <c r="AKI243"/>
      <c r="AKJ243"/>
      <c r="AKK243"/>
      <c r="AKL243"/>
      <c r="AKM243"/>
      <c r="AKN243"/>
      <c r="AKO243"/>
      <c r="AKP243"/>
      <c r="AKQ243"/>
      <c r="AKR243"/>
      <c r="AKS243"/>
      <c r="AKT243"/>
      <c r="AKU243"/>
      <c r="AKV243"/>
      <c r="AKW243"/>
      <c r="AKX243"/>
      <c r="AKY243"/>
      <c r="AKZ243"/>
      <c r="ALA243"/>
      <c r="ALB243"/>
      <c r="ALC243"/>
      <c r="ALD243"/>
      <c r="ALE243"/>
      <c r="ALF243"/>
      <c r="ALG243"/>
      <c r="ALH243"/>
      <c r="ALI243"/>
      <c r="ALJ243"/>
      <c r="ALK243"/>
      <c r="ALL243"/>
      <c r="ALM243"/>
      <c r="ALN243"/>
      <c r="ALO243"/>
      <c r="ALP243"/>
      <c r="ALQ243"/>
      <c r="ALR243"/>
      <c r="ALS243"/>
      <c r="ALT243"/>
      <c r="ALU243"/>
      <c r="ALV243"/>
      <c r="ALW243"/>
      <c r="ALX243"/>
      <c r="ALY243"/>
      <c r="ALZ243"/>
      <c r="AMA243"/>
      <c r="AMB243"/>
      <c r="AMC243"/>
      <c r="AMD243"/>
      <c r="AME243"/>
      <c r="AMF243"/>
      <c r="AMG243"/>
      <c r="AMH243"/>
      <c r="AMI243"/>
      <c r="AMJ243"/>
      <c r="AMK243"/>
      <c r="AML243"/>
      <c r="AMM243"/>
      <c r="AMN243"/>
      <c r="AMO243"/>
      <c r="AMP243"/>
      <c r="AMQ243"/>
      <c r="AMR243"/>
      <c r="AMS243"/>
      <c r="AMT243"/>
      <c r="AMU243"/>
      <c r="AMV243"/>
      <c r="AMW243"/>
      <c r="AMX243"/>
      <c r="AMY243"/>
      <c r="AMZ243"/>
      <c r="ANA243"/>
      <c r="ANB243"/>
      <c r="ANC243"/>
      <c r="AND243"/>
      <c r="ANE243"/>
      <c r="ANF243"/>
      <c r="ANG243"/>
      <c r="ANH243"/>
      <c r="ANI243"/>
      <c r="ANJ243"/>
      <c r="ANK243"/>
      <c r="ANL243"/>
      <c r="ANM243"/>
      <c r="ANN243"/>
      <c r="ANO243"/>
      <c r="ANP243"/>
      <c r="ANQ243"/>
      <c r="ANR243"/>
      <c r="ANS243"/>
      <c r="ANT243"/>
      <c r="ANU243"/>
      <c r="ANV243"/>
      <c r="ANW243"/>
      <c r="ANX243"/>
      <c r="ANY243"/>
      <c r="ANZ243"/>
      <c r="AOA243"/>
      <c r="AOB243"/>
      <c r="AOC243"/>
      <c r="AOD243"/>
      <c r="AOE243"/>
      <c r="AOF243"/>
      <c r="AOG243"/>
      <c r="AOH243"/>
      <c r="AOI243"/>
      <c r="AOJ243"/>
      <c r="AOK243"/>
      <c r="AOL243"/>
      <c r="AOM243"/>
      <c r="AON243"/>
      <c r="AOO243"/>
      <c r="AOP243"/>
      <c r="AOQ243"/>
      <c r="AOR243"/>
      <c r="AOS243"/>
      <c r="AOT243"/>
      <c r="AOU243"/>
      <c r="AOV243"/>
      <c r="AOW243"/>
      <c r="AOX243"/>
      <c r="AOY243"/>
      <c r="AOZ243"/>
      <c r="APA243"/>
      <c r="APB243"/>
      <c r="APC243"/>
      <c r="APD243"/>
      <c r="APE243"/>
      <c r="APF243"/>
      <c r="APG243"/>
      <c r="APH243"/>
      <c r="API243"/>
      <c r="APJ243"/>
      <c r="APK243"/>
      <c r="APL243"/>
      <c r="APM243"/>
      <c r="APN243"/>
      <c r="APO243"/>
      <c r="APP243"/>
      <c r="APQ243"/>
      <c r="APR243"/>
      <c r="APS243"/>
      <c r="APT243"/>
      <c r="APU243"/>
      <c r="APV243"/>
      <c r="APW243"/>
      <c r="APX243"/>
      <c r="APY243"/>
      <c r="APZ243"/>
      <c r="AQA243"/>
      <c r="AQB243"/>
      <c r="AQC243"/>
      <c r="AQD243"/>
      <c r="AQE243"/>
      <c r="AQF243"/>
      <c r="AQG243"/>
      <c r="AQH243"/>
      <c r="AQI243"/>
      <c r="AQJ243"/>
      <c r="AQK243"/>
      <c r="AQL243"/>
      <c r="AQM243"/>
      <c r="AQN243"/>
      <c r="AQO243"/>
      <c r="AQP243"/>
      <c r="AQQ243"/>
      <c r="AQR243"/>
      <c r="AQS243"/>
      <c r="AQT243"/>
      <c r="AQU243"/>
      <c r="AQV243"/>
      <c r="AQW243"/>
      <c r="AQX243"/>
      <c r="AQY243"/>
      <c r="AQZ243"/>
      <c r="ARA243"/>
      <c r="ARB243"/>
      <c r="ARC243"/>
      <c r="ARD243"/>
      <c r="ARE243"/>
      <c r="ARF243"/>
      <c r="ARG243"/>
      <c r="ARH243"/>
      <c r="ARI243"/>
      <c r="ARJ243"/>
      <c r="ARK243"/>
      <c r="ARL243"/>
      <c r="ARM243"/>
      <c r="ARN243"/>
      <c r="ARO243"/>
      <c r="ARP243"/>
      <c r="ARQ243"/>
      <c r="ARR243"/>
      <c r="ARS243"/>
      <c r="ART243"/>
      <c r="ARU243"/>
      <c r="ARV243"/>
      <c r="ARW243"/>
      <c r="ARX243"/>
      <c r="ARY243"/>
      <c r="ARZ243"/>
      <c r="ASA243"/>
      <c r="ASB243"/>
      <c r="ASC243"/>
      <c r="ASD243"/>
      <c r="ASE243"/>
      <c r="ASF243"/>
      <c r="ASG243"/>
      <c r="ASH243"/>
      <c r="ASI243"/>
      <c r="ASJ243"/>
      <c r="ASK243"/>
      <c r="ASL243"/>
      <c r="ASM243"/>
      <c r="ASN243"/>
      <c r="ASO243"/>
      <c r="ASP243"/>
      <c r="ASQ243"/>
      <c r="ASR243"/>
      <c r="ASS243"/>
      <c r="AST243"/>
      <c r="ASU243"/>
      <c r="ASV243"/>
      <c r="ASW243"/>
      <c r="ASX243"/>
      <c r="ASY243"/>
      <c r="ASZ243"/>
      <c r="ATA243"/>
      <c r="ATB243"/>
      <c r="ATC243"/>
      <c r="ATD243"/>
      <c r="ATE243"/>
      <c r="ATF243"/>
      <c r="ATG243"/>
      <c r="ATH243"/>
      <c r="ATI243"/>
      <c r="ATJ243"/>
      <c r="ATK243"/>
      <c r="ATL243"/>
      <c r="ATM243"/>
      <c r="ATN243"/>
      <c r="ATO243"/>
      <c r="ATP243"/>
      <c r="ATQ243"/>
      <c r="ATR243"/>
      <c r="ATS243"/>
      <c r="ATT243"/>
      <c r="ATU243"/>
      <c r="ATV243"/>
      <c r="ATW243"/>
      <c r="ATX243"/>
      <c r="ATY243"/>
      <c r="ATZ243"/>
      <c r="AUA243"/>
      <c r="AUB243"/>
      <c r="AUC243"/>
      <c r="AUD243"/>
      <c r="AUE243"/>
      <c r="AUF243"/>
      <c r="AUG243"/>
      <c r="AUH243"/>
      <c r="AUI243"/>
      <c r="AUJ243"/>
      <c r="AUK243"/>
      <c r="AUL243"/>
      <c r="AUM243"/>
      <c r="AUN243"/>
      <c r="AUO243"/>
      <c r="AUP243"/>
      <c r="AUQ243"/>
      <c r="AUR243"/>
      <c r="AUS243"/>
      <c r="AUT243"/>
      <c r="AUU243"/>
      <c r="AUV243"/>
      <c r="AUW243"/>
      <c r="AUX243"/>
      <c r="AUY243"/>
      <c r="AUZ243"/>
      <c r="AVA243"/>
      <c r="AVB243"/>
      <c r="AVC243"/>
      <c r="AVD243"/>
      <c r="AVE243"/>
      <c r="AVF243"/>
      <c r="AVG243"/>
      <c r="AVH243"/>
      <c r="AVI243"/>
      <c r="AVJ243"/>
      <c r="AVK243"/>
      <c r="AVL243"/>
      <c r="AVM243"/>
      <c r="AVN243"/>
      <c r="AVO243"/>
      <c r="AVP243"/>
      <c r="AVQ243"/>
      <c r="AVR243"/>
      <c r="AVS243"/>
      <c r="AVT243"/>
      <c r="AVU243"/>
      <c r="AVV243"/>
      <c r="AVW243"/>
      <c r="AVX243"/>
      <c r="AVY243"/>
      <c r="AVZ243"/>
      <c r="AWA243"/>
      <c r="AWB243"/>
      <c r="AWC243"/>
      <c r="AWD243"/>
      <c r="AWE243"/>
      <c r="AWF243"/>
      <c r="AWG243"/>
      <c r="AWH243"/>
      <c r="AWI243"/>
      <c r="AWJ243"/>
      <c r="AWK243"/>
      <c r="AWL243"/>
      <c r="AWM243"/>
      <c r="AWN243"/>
      <c r="AWO243"/>
      <c r="AWP243"/>
      <c r="AWQ243"/>
      <c r="AWR243"/>
      <c r="AWS243"/>
      <c r="AWT243"/>
      <c r="AWU243"/>
      <c r="AWV243"/>
      <c r="AWW243"/>
      <c r="AWX243"/>
      <c r="AWY243"/>
      <c r="AWZ243"/>
      <c r="AXA243"/>
      <c r="AXB243"/>
      <c r="AXC243"/>
      <c r="AXD243"/>
      <c r="AXE243"/>
      <c r="AXF243"/>
      <c r="AXG243"/>
      <c r="AXH243"/>
      <c r="AXI243"/>
      <c r="AXJ243"/>
      <c r="AXK243"/>
      <c r="AXL243"/>
      <c r="AXM243"/>
      <c r="AXN243"/>
      <c r="AXO243"/>
      <c r="AXP243"/>
      <c r="AXQ243"/>
      <c r="AXR243"/>
      <c r="AXS243"/>
      <c r="AXT243"/>
      <c r="AXU243"/>
      <c r="AXV243"/>
      <c r="AXW243"/>
      <c r="AXX243"/>
      <c r="AXY243"/>
      <c r="AXZ243"/>
      <c r="AYA243"/>
      <c r="AYB243"/>
      <c r="AYC243"/>
      <c r="AYD243"/>
      <c r="AYE243"/>
      <c r="AYF243"/>
      <c r="AYG243"/>
      <c r="AYH243"/>
      <c r="AYI243"/>
      <c r="AYJ243"/>
      <c r="AYK243"/>
      <c r="AYL243"/>
      <c r="AYM243"/>
      <c r="AYN243"/>
      <c r="AYO243"/>
      <c r="AYP243"/>
      <c r="AYQ243"/>
      <c r="AYR243"/>
      <c r="AYS243"/>
      <c r="AYT243"/>
      <c r="AYU243"/>
      <c r="AYV243"/>
      <c r="AYW243"/>
      <c r="AYX243"/>
      <c r="AYY243"/>
      <c r="AYZ243"/>
      <c r="AZA243"/>
      <c r="AZB243"/>
      <c r="AZC243"/>
      <c r="AZD243"/>
      <c r="AZE243"/>
      <c r="AZF243"/>
      <c r="AZG243"/>
      <c r="AZH243"/>
      <c r="AZI243"/>
      <c r="AZJ243"/>
      <c r="AZK243"/>
      <c r="AZL243"/>
      <c r="AZM243"/>
      <c r="AZN243"/>
      <c r="AZO243"/>
      <c r="AZP243"/>
      <c r="AZQ243"/>
      <c r="AZR243"/>
      <c r="AZS243"/>
      <c r="AZT243"/>
      <c r="AZU243"/>
      <c r="AZV243"/>
      <c r="AZW243"/>
      <c r="AZX243"/>
      <c r="AZY243"/>
      <c r="AZZ243"/>
      <c r="BAA243"/>
      <c r="BAB243"/>
      <c r="BAC243"/>
      <c r="BAD243"/>
      <c r="BAE243"/>
      <c r="BAF243"/>
      <c r="BAG243"/>
      <c r="BAH243"/>
      <c r="BAI243"/>
      <c r="BAJ243"/>
      <c r="BAK243"/>
      <c r="BAL243"/>
      <c r="BAM243"/>
      <c r="BAN243"/>
      <c r="BAO243"/>
      <c r="BAP243"/>
      <c r="BAQ243"/>
      <c r="BAR243"/>
      <c r="BAS243"/>
      <c r="BAT243"/>
      <c r="BAU243"/>
      <c r="BAV243"/>
      <c r="BAW243"/>
      <c r="BAX243"/>
      <c r="BAY243"/>
      <c r="BAZ243"/>
      <c r="BBA243"/>
      <c r="BBB243"/>
      <c r="BBC243"/>
      <c r="BBD243"/>
      <c r="BBE243"/>
      <c r="BBF243"/>
      <c r="BBG243"/>
      <c r="BBH243"/>
      <c r="BBI243"/>
      <c r="BBJ243"/>
      <c r="BBK243"/>
      <c r="BBL243"/>
      <c r="BBM243"/>
      <c r="BBN243"/>
      <c r="BBO243"/>
      <c r="BBP243"/>
      <c r="BBQ243"/>
      <c r="BBR243"/>
      <c r="BBS243"/>
      <c r="BBT243"/>
      <c r="BBU243"/>
      <c r="BBV243"/>
      <c r="BBW243"/>
      <c r="BBX243"/>
      <c r="BBY243"/>
      <c r="BBZ243"/>
      <c r="BCA243"/>
      <c r="BCB243"/>
      <c r="BCC243"/>
      <c r="BCD243"/>
      <c r="BCE243"/>
      <c r="BCF243"/>
      <c r="BCG243"/>
      <c r="BCH243"/>
      <c r="BCI243"/>
      <c r="BCJ243"/>
      <c r="BCK243"/>
      <c r="BCL243"/>
      <c r="BCM243"/>
      <c r="BCN243"/>
      <c r="BCO243"/>
      <c r="BCP243"/>
      <c r="BCQ243"/>
      <c r="BCR243"/>
      <c r="BCS243"/>
      <c r="BCT243"/>
      <c r="BCU243"/>
      <c r="BCV243"/>
      <c r="BCW243"/>
      <c r="BCX243"/>
      <c r="BCY243"/>
      <c r="BCZ243"/>
      <c r="BDA243"/>
      <c r="BDB243"/>
      <c r="BDC243"/>
      <c r="BDD243"/>
      <c r="BDE243"/>
      <c r="BDF243"/>
      <c r="BDG243"/>
      <c r="BDH243"/>
      <c r="BDI243"/>
      <c r="BDJ243"/>
      <c r="BDK243"/>
      <c r="BDL243"/>
      <c r="BDM243"/>
      <c r="BDN243"/>
      <c r="BDO243"/>
      <c r="BDP243"/>
      <c r="BDQ243"/>
      <c r="BDR243"/>
      <c r="BDS243"/>
      <c r="BDT243"/>
      <c r="BDU243"/>
      <c r="BDV243"/>
      <c r="BDW243"/>
      <c r="BDX243"/>
      <c r="BDY243"/>
      <c r="BDZ243"/>
      <c r="BEA243"/>
      <c r="BEB243"/>
      <c r="BEC243"/>
      <c r="BED243"/>
      <c r="BEE243"/>
      <c r="BEF243"/>
      <c r="BEG243"/>
      <c r="BEH243"/>
      <c r="BEI243"/>
      <c r="BEJ243"/>
      <c r="BEK243"/>
      <c r="BEL243"/>
      <c r="BEM243"/>
      <c r="BEN243"/>
      <c r="BEO243"/>
      <c r="BEP243"/>
      <c r="BEQ243"/>
      <c r="BER243"/>
      <c r="BES243"/>
      <c r="BET243"/>
      <c r="BEU243"/>
      <c r="BEV243"/>
      <c r="BEW243"/>
      <c r="BEX243"/>
      <c r="BEY243"/>
      <c r="BEZ243"/>
      <c r="BFA243"/>
      <c r="BFB243"/>
      <c r="BFC243"/>
      <c r="BFD243"/>
      <c r="BFE243"/>
      <c r="BFF243"/>
      <c r="BFG243"/>
      <c r="BFH243"/>
      <c r="BFI243"/>
      <c r="BFJ243"/>
      <c r="BFK243"/>
      <c r="BFL243"/>
      <c r="BFM243"/>
      <c r="BFN243"/>
      <c r="BFO243"/>
      <c r="BFP243"/>
      <c r="BFQ243"/>
      <c r="BFR243"/>
      <c r="BFS243"/>
      <c r="BFT243"/>
      <c r="BFU243"/>
      <c r="BFV243"/>
      <c r="BFW243"/>
      <c r="BFX243"/>
      <c r="BFY243"/>
      <c r="BFZ243"/>
      <c r="BGA243"/>
      <c r="BGB243"/>
      <c r="BGC243"/>
      <c r="BGD243"/>
      <c r="BGE243"/>
      <c r="BGF243"/>
      <c r="BGG243"/>
      <c r="BGH243"/>
      <c r="BGI243"/>
      <c r="BGJ243"/>
      <c r="BGK243"/>
      <c r="BGL243"/>
      <c r="BGM243"/>
      <c r="BGN243"/>
      <c r="BGO243"/>
      <c r="BGP243"/>
      <c r="BGQ243"/>
      <c r="BGR243"/>
      <c r="BGS243"/>
      <c r="BGT243"/>
      <c r="BGU243"/>
      <c r="BGV243"/>
      <c r="BGW243"/>
      <c r="BGX243"/>
      <c r="BGY243"/>
      <c r="BGZ243"/>
      <c r="BHA243"/>
      <c r="BHB243"/>
      <c r="BHC243"/>
      <c r="BHD243"/>
      <c r="BHE243"/>
      <c r="BHF243"/>
      <c r="BHG243"/>
      <c r="BHH243"/>
      <c r="BHI243"/>
      <c r="BHJ243"/>
      <c r="BHK243"/>
      <c r="BHL243"/>
      <c r="BHM243"/>
      <c r="BHN243"/>
      <c r="BHO243"/>
      <c r="BHP243"/>
      <c r="BHQ243"/>
      <c r="BHR243"/>
      <c r="BHS243"/>
      <c r="BHT243"/>
      <c r="BHU243"/>
      <c r="BHV243"/>
      <c r="BHW243"/>
      <c r="BHX243"/>
      <c r="BHY243"/>
      <c r="BHZ243"/>
      <c r="BIA243"/>
      <c r="BIB243"/>
      <c r="BIC243"/>
      <c r="BID243"/>
      <c r="BIE243"/>
      <c r="BIF243"/>
      <c r="BIG243"/>
      <c r="BIH243"/>
      <c r="BII243"/>
      <c r="BIJ243"/>
      <c r="BIK243"/>
      <c r="BIL243"/>
      <c r="BIM243"/>
      <c r="BIN243"/>
      <c r="BIO243"/>
      <c r="BIP243"/>
      <c r="BIQ243"/>
      <c r="BIR243"/>
      <c r="BIS243"/>
      <c r="BIT243"/>
      <c r="BIU243"/>
      <c r="BIV243"/>
      <c r="BIW243"/>
      <c r="BIX243"/>
      <c r="BIY243"/>
      <c r="BIZ243"/>
      <c r="BJA243"/>
      <c r="BJB243"/>
      <c r="BJC243"/>
      <c r="BJD243"/>
      <c r="BJE243"/>
      <c r="BJF243"/>
      <c r="BJG243"/>
      <c r="BJH243"/>
      <c r="BJI243"/>
      <c r="BJJ243"/>
      <c r="BJK243"/>
      <c r="BJL243"/>
      <c r="BJM243"/>
      <c r="BJN243"/>
      <c r="BJO243"/>
      <c r="BJP243"/>
      <c r="BJQ243"/>
      <c r="BJR243"/>
      <c r="BJS243"/>
      <c r="BJT243"/>
      <c r="BJU243"/>
      <c r="BJV243"/>
      <c r="BJW243"/>
      <c r="BJX243"/>
      <c r="BJY243"/>
      <c r="BJZ243"/>
      <c r="BKA243"/>
      <c r="BKB243"/>
      <c r="BKC243"/>
      <c r="BKD243"/>
      <c r="BKE243"/>
      <c r="BKF243"/>
      <c r="BKG243"/>
      <c r="BKH243"/>
      <c r="BKI243"/>
      <c r="BKJ243"/>
      <c r="BKK243"/>
      <c r="BKL243"/>
      <c r="BKM243"/>
      <c r="BKN243"/>
      <c r="BKO243"/>
      <c r="BKP243"/>
      <c r="BKQ243"/>
      <c r="BKR243"/>
      <c r="BKS243"/>
      <c r="BKT243"/>
      <c r="BKU243"/>
      <c r="BKV243"/>
      <c r="BKW243"/>
      <c r="BKX243"/>
      <c r="BKY243"/>
      <c r="BKZ243"/>
      <c r="BLA243"/>
      <c r="BLB243"/>
      <c r="BLC243"/>
      <c r="BLD243"/>
      <c r="BLE243"/>
      <c r="BLF243"/>
      <c r="BLG243"/>
      <c r="BLH243"/>
      <c r="BLI243"/>
      <c r="BLJ243"/>
      <c r="BLK243"/>
      <c r="BLL243"/>
      <c r="BLM243"/>
      <c r="BLN243"/>
      <c r="BLO243"/>
      <c r="BLP243"/>
      <c r="BLQ243"/>
      <c r="BLR243"/>
      <c r="BLS243"/>
      <c r="BLT243"/>
      <c r="BLU243"/>
      <c r="BLV243"/>
      <c r="BLW243"/>
      <c r="BLX243"/>
      <c r="BLY243"/>
      <c r="BLZ243"/>
      <c r="BMA243"/>
      <c r="BMB243"/>
      <c r="BMC243"/>
      <c r="BMD243"/>
      <c r="BME243"/>
      <c r="BMF243"/>
      <c r="BMG243"/>
      <c r="BMH243"/>
      <c r="BMI243"/>
      <c r="BMJ243"/>
      <c r="BMK243"/>
      <c r="BML243"/>
      <c r="BMM243"/>
      <c r="BMN243"/>
      <c r="BMO243"/>
      <c r="BMP243"/>
      <c r="BMQ243"/>
      <c r="BMR243"/>
      <c r="BMS243"/>
      <c r="BMT243"/>
      <c r="BMU243"/>
      <c r="BMV243"/>
      <c r="BMW243"/>
      <c r="BMX243"/>
      <c r="BMY243"/>
      <c r="BMZ243"/>
      <c r="BNA243"/>
      <c r="BNB243"/>
      <c r="BNC243"/>
      <c r="BND243"/>
      <c r="BNE243"/>
      <c r="BNF243"/>
      <c r="BNG243"/>
      <c r="BNH243"/>
      <c r="BNI243"/>
      <c r="BNJ243"/>
      <c r="BNK243"/>
      <c r="BNL243"/>
      <c r="BNM243"/>
      <c r="BNN243"/>
      <c r="BNO243"/>
      <c r="BNP243"/>
      <c r="BNQ243"/>
      <c r="BNR243"/>
      <c r="BNS243"/>
      <c r="BNT243"/>
      <c r="BNU243"/>
      <c r="BNV243"/>
      <c r="BNW243"/>
      <c r="BNX243"/>
      <c r="BNY243"/>
      <c r="BNZ243"/>
      <c r="BOA243"/>
      <c r="BOB243"/>
      <c r="BOC243"/>
      <c r="BOD243"/>
      <c r="BOE243"/>
      <c r="BOF243"/>
      <c r="BOG243"/>
      <c r="BOH243"/>
      <c r="BOI243"/>
      <c r="BOJ243"/>
      <c r="BOK243"/>
      <c r="BOL243"/>
      <c r="BOM243"/>
      <c r="BON243"/>
      <c r="BOO243"/>
      <c r="BOP243"/>
      <c r="BOQ243"/>
      <c r="BOR243"/>
      <c r="BOS243"/>
      <c r="BOT243"/>
      <c r="BOU243"/>
      <c r="BOV243"/>
      <c r="BOW243"/>
      <c r="BOX243"/>
      <c r="BOY243"/>
      <c r="BOZ243"/>
      <c r="BPA243"/>
      <c r="BPB243"/>
      <c r="BPC243"/>
      <c r="BPD243"/>
      <c r="BPE243"/>
      <c r="BPF243"/>
      <c r="BPG243"/>
      <c r="BPH243"/>
      <c r="BPI243"/>
      <c r="BPJ243"/>
      <c r="BPK243"/>
      <c r="BPL243"/>
      <c r="BPM243"/>
      <c r="BPN243"/>
      <c r="BPO243"/>
      <c r="BPP243"/>
      <c r="BPQ243"/>
      <c r="BPR243"/>
      <c r="BPS243"/>
      <c r="BPT243"/>
      <c r="BPU243"/>
      <c r="BPV243"/>
      <c r="BPW243"/>
      <c r="BPX243"/>
      <c r="BPY243"/>
      <c r="BPZ243"/>
      <c r="BQA243"/>
      <c r="BQB243"/>
      <c r="BQC243"/>
      <c r="BQD243"/>
      <c r="BQE243"/>
      <c r="BQF243"/>
      <c r="BQG243"/>
      <c r="BQH243"/>
      <c r="BQI243"/>
      <c r="BQJ243"/>
      <c r="BQK243"/>
      <c r="BQL243"/>
      <c r="BQM243"/>
      <c r="BQN243"/>
      <c r="BQO243"/>
      <c r="BQP243"/>
      <c r="BQQ243"/>
      <c r="BQR243"/>
      <c r="BQS243"/>
      <c r="BQT243"/>
      <c r="BQU243"/>
      <c r="BQV243"/>
      <c r="BQW243"/>
      <c r="BQX243"/>
      <c r="BQY243"/>
      <c r="BQZ243"/>
      <c r="BRA243"/>
      <c r="BRB243"/>
      <c r="BRC243"/>
      <c r="BRD243"/>
      <c r="BRE243"/>
      <c r="BRF243"/>
      <c r="BRG243"/>
      <c r="BRH243"/>
      <c r="BRI243"/>
      <c r="BRJ243"/>
      <c r="BRK243"/>
      <c r="BRL243"/>
      <c r="BRM243"/>
      <c r="BRN243"/>
      <c r="BRO243"/>
      <c r="BRP243"/>
      <c r="BRQ243"/>
      <c r="BRR243"/>
      <c r="BRS243"/>
      <c r="BRT243"/>
      <c r="BRU243"/>
      <c r="BRV243"/>
      <c r="BRW243"/>
      <c r="BRX243"/>
      <c r="BRY243"/>
      <c r="BRZ243"/>
      <c r="BSA243"/>
      <c r="BSB243"/>
      <c r="BSC243"/>
      <c r="BSD243"/>
      <c r="BSE243"/>
      <c r="BSF243"/>
      <c r="BSG243"/>
      <c r="BSH243"/>
      <c r="BSI243"/>
      <c r="BSJ243"/>
      <c r="BSK243"/>
      <c r="BSL243"/>
      <c r="BSM243"/>
      <c r="BSN243"/>
      <c r="BSO243"/>
      <c r="BSP243"/>
      <c r="BSQ243"/>
      <c r="BSR243"/>
      <c r="BSS243"/>
      <c r="BST243"/>
      <c r="BSU243"/>
      <c r="BSV243"/>
      <c r="BSW243"/>
      <c r="BSX243"/>
      <c r="BSY243"/>
      <c r="BSZ243"/>
      <c r="BTA243"/>
      <c r="BTB243"/>
      <c r="BTC243"/>
      <c r="BTD243"/>
      <c r="BTE243"/>
      <c r="BTF243"/>
      <c r="BTG243"/>
      <c r="BTH243"/>
      <c r="BTI243"/>
      <c r="BTJ243"/>
      <c r="BTK243"/>
      <c r="BTL243"/>
      <c r="BTM243"/>
      <c r="BTN243"/>
      <c r="BTO243"/>
      <c r="BTP243"/>
      <c r="BTQ243"/>
      <c r="BTR243"/>
      <c r="BTS243"/>
      <c r="BTT243"/>
      <c r="BTU243"/>
      <c r="BTV243"/>
      <c r="BTW243"/>
      <c r="BTX243"/>
      <c r="BTY243"/>
      <c r="BTZ243"/>
      <c r="BUA243"/>
      <c r="BUB243"/>
      <c r="BUC243"/>
      <c r="BUD243"/>
      <c r="BUE243"/>
      <c r="BUF243"/>
      <c r="BUG243"/>
      <c r="BUH243"/>
      <c r="BUI243"/>
      <c r="BUJ243"/>
      <c r="BUK243"/>
      <c r="BUL243"/>
      <c r="BUM243"/>
      <c r="BUN243"/>
      <c r="BUO243"/>
      <c r="BUP243"/>
      <c r="BUQ243"/>
      <c r="BUR243"/>
      <c r="BUS243"/>
      <c r="BUT243"/>
      <c r="BUU243"/>
      <c r="BUV243"/>
      <c r="BUW243"/>
      <c r="BUX243"/>
      <c r="BUY243"/>
      <c r="BUZ243"/>
      <c r="BVA243"/>
      <c r="BVB243"/>
      <c r="BVC243"/>
      <c r="BVD243"/>
      <c r="BVE243"/>
      <c r="BVF243"/>
      <c r="BVG243"/>
      <c r="BVH243"/>
      <c r="BVI243"/>
      <c r="BVJ243"/>
      <c r="BVK243"/>
      <c r="BVL243"/>
      <c r="BVM243"/>
      <c r="BVN243"/>
      <c r="BVO243"/>
      <c r="BVP243"/>
      <c r="BVQ243"/>
      <c r="BVR243"/>
      <c r="BVS243"/>
      <c r="BVT243"/>
      <c r="BVU243"/>
      <c r="BVV243"/>
      <c r="BVW243"/>
      <c r="BVX243"/>
      <c r="BVY243"/>
      <c r="BVZ243"/>
      <c r="BWA243"/>
      <c r="BWB243"/>
      <c r="BWC243"/>
      <c r="BWD243"/>
      <c r="BWE243"/>
      <c r="BWF243"/>
      <c r="BWG243"/>
      <c r="BWH243"/>
      <c r="BWI243"/>
      <c r="BWJ243"/>
      <c r="BWK243"/>
      <c r="BWL243"/>
      <c r="BWM243"/>
      <c r="BWN243"/>
      <c r="BWO243"/>
      <c r="BWP243"/>
      <c r="BWQ243"/>
      <c r="BWR243"/>
      <c r="BWS243"/>
      <c r="BWT243"/>
      <c r="BWU243"/>
      <c r="BWV243"/>
      <c r="BWW243"/>
      <c r="BWX243"/>
      <c r="BWY243"/>
      <c r="BWZ243"/>
      <c r="BXA243"/>
      <c r="BXB243"/>
      <c r="BXC243"/>
      <c r="BXD243"/>
      <c r="BXE243"/>
      <c r="BXF243"/>
      <c r="BXG243"/>
      <c r="BXH243"/>
      <c r="BXI243"/>
      <c r="BXJ243"/>
      <c r="BXK243"/>
      <c r="BXL243"/>
      <c r="BXM243"/>
      <c r="BXN243"/>
      <c r="BXO243"/>
      <c r="BXP243"/>
      <c r="BXQ243"/>
      <c r="BXR243"/>
      <c r="BXS243"/>
      <c r="BXT243"/>
      <c r="BXU243"/>
      <c r="BXV243"/>
      <c r="BXW243"/>
      <c r="BXX243"/>
      <c r="BXY243"/>
      <c r="BXZ243"/>
      <c r="BYA243"/>
      <c r="BYB243"/>
      <c r="BYC243"/>
      <c r="BYD243"/>
      <c r="BYE243"/>
      <c r="BYF243"/>
      <c r="BYG243"/>
      <c r="BYH243"/>
      <c r="BYI243"/>
      <c r="BYJ243"/>
      <c r="BYK243"/>
      <c r="BYL243"/>
      <c r="BYM243"/>
      <c r="BYN243"/>
      <c r="BYO243"/>
      <c r="BYP243"/>
      <c r="BYQ243"/>
      <c r="BYR243"/>
      <c r="BYS243"/>
      <c r="BYT243"/>
      <c r="BYU243"/>
      <c r="BYV243"/>
      <c r="BYW243"/>
      <c r="BYX243"/>
      <c r="BYY243"/>
      <c r="BYZ243"/>
      <c r="BZA243"/>
      <c r="BZB243"/>
      <c r="BZC243"/>
      <c r="BZD243"/>
      <c r="BZE243"/>
      <c r="BZF243"/>
      <c r="BZG243"/>
      <c r="BZH243"/>
      <c r="BZI243"/>
      <c r="BZJ243"/>
      <c r="BZK243"/>
      <c r="BZL243"/>
      <c r="BZM243"/>
      <c r="BZN243"/>
      <c r="BZO243"/>
      <c r="BZP243"/>
      <c r="BZQ243"/>
      <c r="BZR243"/>
      <c r="BZS243"/>
      <c r="BZT243"/>
      <c r="BZU243"/>
      <c r="BZV243"/>
      <c r="BZW243"/>
      <c r="BZX243"/>
      <c r="BZY243"/>
      <c r="BZZ243"/>
      <c r="CAA243"/>
      <c r="CAB243"/>
      <c r="CAC243"/>
      <c r="CAD243"/>
      <c r="CAE243"/>
      <c r="CAF243"/>
      <c r="CAG243"/>
      <c r="CAH243"/>
      <c r="CAI243"/>
      <c r="CAJ243"/>
      <c r="CAK243"/>
      <c r="CAL243"/>
      <c r="CAM243"/>
      <c r="CAN243"/>
      <c r="CAO243"/>
      <c r="CAP243"/>
      <c r="CAQ243"/>
      <c r="CAR243"/>
      <c r="CAS243"/>
      <c r="CAT243"/>
      <c r="CAU243"/>
      <c r="CAV243"/>
      <c r="CAW243"/>
      <c r="CAX243"/>
      <c r="CAY243"/>
      <c r="CAZ243"/>
      <c r="CBA243"/>
      <c r="CBB243"/>
      <c r="CBC243"/>
      <c r="CBD243"/>
      <c r="CBE243"/>
      <c r="CBF243"/>
      <c r="CBG243"/>
      <c r="CBH243"/>
      <c r="CBI243"/>
      <c r="CBJ243"/>
      <c r="CBK243"/>
      <c r="CBL243"/>
      <c r="CBM243"/>
      <c r="CBN243"/>
      <c r="CBO243"/>
      <c r="CBP243"/>
      <c r="CBQ243"/>
      <c r="CBR243"/>
      <c r="CBS243"/>
      <c r="CBT243"/>
      <c r="CBU243"/>
      <c r="CBV243"/>
      <c r="CBW243"/>
      <c r="CBX243"/>
      <c r="CBY243"/>
      <c r="CBZ243"/>
      <c r="CCA243"/>
      <c r="CCB243"/>
      <c r="CCC243"/>
      <c r="CCD243"/>
      <c r="CCE243"/>
      <c r="CCF243"/>
      <c r="CCG243"/>
      <c r="CCH243"/>
      <c r="CCI243"/>
      <c r="CCJ243"/>
      <c r="CCK243"/>
      <c r="CCL243"/>
      <c r="CCM243"/>
      <c r="CCN243"/>
      <c r="CCO243"/>
      <c r="CCP243"/>
      <c r="CCQ243"/>
      <c r="CCR243"/>
      <c r="CCS243"/>
      <c r="CCT243"/>
      <c r="CCU243"/>
      <c r="CCV243"/>
      <c r="CCW243"/>
      <c r="CCX243"/>
      <c r="CCY243"/>
      <c r="CCZ243"/>
      <c r="CDA243"/>
      <c r="CDB243"/>
      <c r="CDC243"/>
      <c r="CDD243"/>
      <c r="CDE243"/>
      <c r="CDF243"/>
      <c r="CDG243"/>
      <c r="CDH243"/>
      <c r="CDI243"/>
      <c r="CDJ243"/>
      <c r="CDK243"/>
      <c r="CDL243"/>
      <c r="CDM243"/>
      <c r="CDN243"/>
      <c r="CDO243"/>
      <c r="CDP243"/>
      <c r="CDQ243"/>
      <c r="CDR243"/>
      <c r="CDS243"/>
      <c r="CDT243"/>
      <c r="CDU243"/>
      <c r="CDV243"/>
      <c r="CDW243"/>
      <c r="CDX243"/>
      <c r="CDY243"/>
      <c r="CDZ243"/>
      <c r="CEA243"/>
      <c r="CEB243"/>
      <c r="CEC243"/>
      <c r="CED243"/>
      <c r="CEE243"/>
      <c r="CEF243"/>
      <c r="CEG243"/>
      <c r="CEH243"/>
      <c r="CEI243"/>
      <c r="CEJ243"/>
      <c r="CEK243"/>
      <c r="CEL243"/>
      <c r="CEM243"/>
      <c r="CEN243"/>
      <c r="CEO243"/>
      <c r="CEP243"/>
      <c r="CEQ243"/>
      <c r="CER243"/>
      <c r="CES243"/>
      <c r="CET243"/>
      <c r="CEU243"/>
      <c r="CEV243"/>
      <c r="CEW243"/>
      <c r="CEX243"/>
      <c r="CEY243"/>
      <c r="CEZ243"/>
      <c r="CFA243"/>
      <c r="CFB243"/>
      <c r="CFC243"/>
      <c r="CFD243"/>
      <c r="CFE243"/>
      <c r="CFF243"/>
      <c r="CFG243"/>
      <c r="CFH243"/>
      <c r="CFI243"/>
      <c r="CFJ243"/>
      <c r="CFK243"/>
      <c r="CFL243"/>
      <c r="CFM243"/>
      <c r="CFN243"/>
      <c r="CFO243"/>
      <c r="CFP243"/>
      <c r="CFQ243"/>
      <c r="CFR243"/>
      <c r="CFS243"/>
      <c r="CFT243"/>
      <c r="CFU243"/>
      <c r="CFV243"/>
      <c r="CFW243"/>
      <c r="CFX243"/>
      <c r="CFY243"/>
      <c r="CFZ243"/>
      <c r="CGA243"/>
      <c r="CGB243"/>
      <c r="CGC243"/>
      <c r="CGD243"/>
      <c r="CGE243"/>
      <c r="CGF243"/>
      <c r="CGG243"/>
      <c r="CGH243"/>
      <c r="CGI243"/>
      <c r="CGJ243"/>
      <c r="CGK243"/>
      <c r="CGL243"/>
      <c r="CGM243"/>
      <c r="CGN243"/>
      <c r="CGO243"/>
      <c r="CGP243"/>
      <c r="CGQ243"/>
      <c r="CGR243"/>
      <c r="CGS243"/>
      <c r="CGT243"/>
      <c r="CGU243"/>
      <c r="CGV243"/>
      <c r="CGW243"/>
      <c r="CGX243"/>
      <c r="CGY243"/>
      <c r="CGZ243"/>
      <c r="CHA243"/>
      <c r="CHB243"/>
      <c r="CHC243"/>
      <c r="CHD243"/>
      <c r="CHE243"/>
      <c r="CHF243"/>
      <c r="CHG243"/>
      <c r="CHH243"/>
      <c r="CHI243"/>
      <c r="CHJ243"/>
      <c r="CHK243"/>
      <c r="CHL243"/>
      <c r="CHM243"/>
      <c r="CHN243"/>
      <c r="CHO243"/>
      <c r="CHP243"/>
      <c r="CHQ243"/>
      <c r="CHR243"/>
      <c r="CHS243"/>
      <c r="CHT243"/>
      <c r="CHU243"/>
      <c r="CHV243"/>
      <c r="CHW243"/>
      <c r="CHX243"/>
      <c r="CHY243"/>
      <c r="CHZ243"/>
      <c r="CIA243"/>
      <c r="CIB243"/>
      <c r="CIC243"/>
      <c r="CID243"/>
      <c r="CIE243"/>
      <c r="CIF243"/>
      <c r="CIG243"/>
      <c r="CIH243"/>
      <c r="CII243"/>
      <c r="CIJ243"/>
      <c r="CIK243"/>
      <c r="CIL243"/>
      <c r="CIM243"/>
      <c r="CIN243"/>
      <c r="CIO243"/>
      <c r="CIP243"/>
      <c r="CIQ243"/>
      <c r="CIR243"/>
      <c r="CIS243"/>
      <c r="CIT243"/>
      <c r="CIU243"/>
      <c r="CIV243"/>
      <c r="CIW243"/>
      <c r="CIX243"/>
      <c r="CIY243"/>
      <c r="CIZ243"/>
      <c r="CJA243"/>
      <c r="CJB243"/>
      <c r="CJC243"/>
      <c r="CJD243"/>
      <c r="CJE243"/>
      <c r="CJF243"/>
      <c r="CJG243"/>
      <c r="CJH243"/>
      <c r="CJI243"/>
      <c r="CJJ243"/>
      <c r="CJK243"/>
      <c r="CJL243"/>
      <c r="CJM243"/>
      <c r="CJN243"/>
      <c r="CJO243"/>
      <c r="CJP243"/>
      <c r="CJQ243"/>
      <c r="CJR243"/>
      <c r="CJS243"/>
      <c r="CJT243"/>
      <c r="CJU243"/>
      <c r="CJV243"/>
      <c r="CJW243"/>
      <c r="CJX243"/>
      <c r="CJY243"/>
      <c r="CJZ243"/>
      <c r="CKA243"/>
      <c r="CKB243"/>
      <c r="CKC243"/>
      <c r="CKD243"/>
      <c r="CKE243"/>
      <c r="CKF243"/>
      <c r="CKG243"/>
      <c r="CKH243"/>
      <c r="CKI243"/>
      <c r="CKJ243"/>
      <c r="CKK243"/>
      <c r="CKL243"/>
      <c r="CKM243"/>
      <c r="CKN243"/>
      <c r="CKO243"/>
      <c r="CKP243"/>
      <c r="CKQ243"/>
      <c r="CKR243"/>
      <c r="CKS243"/>
      <c r="CKT243"/>
      <c r="CKU243"/>
      <c r="CKV243"/>
      <c r="CKW243"/>
      <c r="CKX243"/>
      <c r="CKY243"/>
      <c r="CKZ243"/>
      <c r="CLA243"/>
      <c r="CLB243"/>
      <c r="CLC243"/>
      <c r="CLD243"/>
      <c r="CLE243"/>
      <c r="CLF243"/>
      <c r="CLG243"/>
      <c r="CLH243"/>
      <c r="CLI243"/>
      <c r="CLJ243"/>
      <c r="CLK243"/>
      <c r="CLL243"/>
      <c r="CLM243"/>
      <c r="CLN243"/>
      <c r="CLO243"/>
      <c r="CLP243"/>
      <c r="CLQ243"/>
      <c r="CLR243"/>
      <c r="CLS243"/>
      <c r="CLT243"/>
      <c r="CLU243"/>
      <c r="CLV243"/>
      <c r="CLW243"/>
      <c r="CLX243"/>
      <c r="CLY243"/>
      <c r="CLZ243"/>
      <c r="CMA243"/>
      <c r="CMB243"/>
      <c r="CMC243"/>
      <c r="CMD243"/>
      <c r="CME243"/>
      <c r="CMF243"/>
      <c r="CMG243"/>
      <c r="CMH243"/>
      <c r="CMI243"/>
      <c r="CMJ243"/>
      <c r="CMK243"/>
      <c r="CML243"/>
      <c r="CMM243"/>
      <c r="CMN243"/>
      <c r="CMO243"/>
      <c r="CMP243"/>
      <c r="CMQ243"/>
      <c r="CMR243"/>
      <c r="CMS243"/>
      <c r="CMT243"/>
      <c r="CMU243"/>
      <c r="CMV243"/>
      <c r="CMW243"/>
      <c r="CMX243"/>
      <c r="CMY243"/>
      <c r="CMZ243"/>
      <c r="CNA243"/>
      <c r="CNB243"/>
      <c r="CNC243"/>
      <c r="CND243"/>
      <c r="CNE243"/>
      <c r="CNF243"/>
      <c r="CNG243"/>
      <c r="CNH243"/>
      <c r="CNI243"/>
      <c r="CNJ243"/>
      <c r="CNK243"/>
      <c r="CNL243"/>
      <c r="CNM243"/>
      <c r="CNN243"/>
      <c r="CNO243"/>
      <c r="CNP243"/>
      <c r="CNQ243"/>
      <c r="CNR243"/>
      <c r="CNS243"/>
      <c r="CNT243"/>
      <c r="CNU243"/>
      <c r="CNV243"/>
      <c r="CNW243"/>
      <c r="CNX243"/>
      <c r="CNY243"/>
      <c r="CNZ243"/>
      <c r="COA243"/>
      <c r="COB243"/>
      <c r="COC243"/>
      <c r="COD243"/>
      <c r="COE243"/>
      <c r="COF243"/>
      <c r="COG243"/>
      <c r="COH243"/>
      <c r="COI243"/>
      <c r="COJ243"/>
      <c r="COK243"/>
      <c r="COL243"/>
      <c r="COM243"/>
      <c r="CON243"/>
      <c r="COO243"/>
      <c r="COP243"/>
      <c r="COQ243"/>
      <c r="COR243"/>
      <c r="COS243"/>
      <c r="COT243"/>
      <c r="COU243"/>
      <c r="COV243"/>
      <c r="COW243"/>
      <c r="COX243"/>
      <c r="COY243"/>
      <c r="COZ243"/>
      <c r="CPA243"/>
      <c r="CPB243"/>
      <c r="CPC243"/>
      <c r="CPD243"/>
      <c r="CPE243"/>
      <c r="CPF243"/>
      <c r="CPG243"/>
      <c r="CPH243"/>
      <c r="CPI243"/>
      <c r="CPJ243"/>
      <c r="CPK243"/>
      <c r="CPL243"/>
      <c r="CPM243"/>
      <c r="CPN243"/>
      <c r="CPO243"/>
      <c r="CPP243"/>
      <c r="CPQ243"/>
      <c r="CPR243"/>
      <c r="CPS243"/>
      <c r="CPT243"/>
      <c r="CPU243"/>
      <c r="CPV243"/>
      <c r="CPW243"/>
      <c r="CPX243"/>
      <c r="CPY243"/>
      <c r="CPZ243"/>
      <c r="CQA243"/>
      <c r="CQB243"/>
      <c r="CQC243"/>
      <c r="CQD243"/>
      <c r="CQE243"/>
      <c r="CQF243"/>
      <c r="CQG243"/>
      <c r="CQH243"/>
      <c r="CQI243"/>
      <c r="CQJ243"/>
      <c r="CQK243"/>
      <c r="CQL243"/>
      <c r="CQM243"/>
      <c r="CQN243"/>
      <c r="CQO243"/>
      <c r="CQP243"/>
      <c r="CQQ243"/>
      <c r="CQR243"/>
      <c r="CQS243"/>
      <c r="CQT243"/>
      <c r="CQU243"/>
      <c r="CQV243"/>
      <c r="CQW243"/>
      <c r="CQX243"/>
      <c r="CQY243"/>
      <c r="CQZ243"/>
      <c r="CRA243"/>
      <c r="CRB243"/>
      <c r="CRC243"/>
      <c r="CRD243"/>
      <c r="CRE243"/>
      <c r="CRF243"/>
      <c r="CRG243"/>
      <c r="CRH243"/>
      <c r="CRI243"/>
      <c r="CRJ243"/>
      <c r="CRK243"/>
      <c r="CRL243"/>
      <c r="CRM243"/>
    </row>
    <row r="244" spans="1:2509" ht="15" thickBot="1" x14ac:dyDescent="0.4">
      <c r="A244" s="12"/>
      <c r="B244" s="98" t="s">
        <v>208</v>
      </c>
      <c r="C244" s="100"/>
      <c r="D244" s="100"/>
      <c r="E244" s="100"/>
      <c r="F244" s="27"/>
      <c r="G244" s="27"/>
      <c r="H244" s="27"/>
      <c r="I244" s="27"/>
      <c r="J244" s="27"/>
      <c r="K244" s="27"/>
      <c r="L244" s="27"/>
      <c r="M244" s="27"/>
      <c r="N244" s="27"/>
      <c r="O244" s="27"/>
      <c r="P244" s="27"/>
      <c r="Q244" s="27"/>
      <c r="R244" s="27"/>
      <c r="S244" s="27"/>
      <c r="T244" s="27"/>
      <c r="U244" s="27"/>
      <c r="V244" s="27"/>
      <c r="W244" s="27"/>
      <c r="X244" s="27"/>
      <c r="Y244" s="27"/>
      <c r="Z244" s="27"/>
      <c r="AA244" s="27"/>
      <c r="AB244" s="27"/>
      <c r="AC244" s="27"/>
      <c r="AD244" s="27"/>
    </row>
    <row r="245" spans="1:2509" ht="15" thickBot="1" x14ac:dyDescent="0.4">
      <c r="A245" s="306" t="s">
        <v>208</v>
      </c>
      <c r="B245" s="101" t="s">
        <v>209</v>
      </c>
      <c r="C245" s="117">
        <v>3700</v>
      </c>
    </row>
    <row r="246" spans="1:2509" x14ac:dyDescent="0.35">
      <c r="A246" s="307"/>
      <c r="B246" s="52" t="s">
        <v>697</v>
      </c>
      <c r="C246" s="18">
        <v>0</v>
      </c>
      <c r="D246" s="18">
        <v>300</v>
      </c>
      <c r="E246" s="18">
        <v>600</v>
      </c>
      <c r="F246" s="18">
        <v>900</v>
      </c>
      <c r="G246" s="18">
        <v>1200</v>
      </c>
      <c r="H246" s="18">
        <v>1500</v>
      </c>
      <c r="I246" s="18">
        <v>1800</v>
      </c>
      <c r="J246" s="18">
        <v>2100</v>
      </c>
      <c r="K246" s="18">
        <v>2400</v>
      </c>
      <c r="L246" s="18">
        <v>2700</v>
      </c>
      <c r="M246" s="18">
        <v>3000</v>
      </c>
      <c r="N246" s="18">
        <v>3300</v>
      </c>
      <c r="O246" s="18">
        <v>3600</v>
      </c>
      <c r="P246" s="18">
        <v>3900</v>
      </c>
      <c r="Q246" s="18"/>
      <c r="R246" s="104"/>
      <c r="S246" s="104"/>
      <c r="T246" s="104"/>
      <c r="U246" s="104"/>
      <c r="V246" s="104"/>
      <c r="W246" s="104"/>
      <c r="X246" s="104"/>
      <c r="Y246" s="104"/>
      <c r="Z246" s="104"/>
      <c r="AA246" s="104"/>
      <c r="AB246" s="104"/>
      <c r="AC246" s="104"/>
      <c r="AD246" s="104"/>
      <c r="AE246" s="104"/>
      <c r="AF246" s="104"/>
      <c r="AG246" s="104"/>
      <c r="AH246" s="104"/>
      <c r="AI246" s="104"/>
      <c r="AJ246" s="104"/>
      <c r="AK246" s="105"/>
    </row>
    <row r="247" spans="1:2509" ht="15" thickBot="1" x14ac:dyDescent="0.4">
      <c r="A247" s="307"/>
      <c r="B247" s="52" t="s">
        <v>210</v>
      </c>
      <c r="C247" s="21">
        <v>0</v>
      </c>
      <c r="D247" s="110">
        <v>10.030610640000001</v>
      </c>
      <c r="E247" s="110">
        <v>23.764884120000001</v>
      </c>
      <c r="F247" s="110">
        <v>33.486863160000006</v>
      </c>
      <c r="G247" s="110">
        <v>39.968210400000004</v>
      </c>
      <c r="H247" s="110">
        <v>44</v>
      </c>
      <c r="I247" s="110">
        <v>44</v>
      </c>
      <c r="J247" s="110">
        <v>44</v>
      </c>
      <c r="K247" s="110">
        <v>44</v>
      </c>
      <c r="L247" s="110">
        <v>44</v>
      </c>
      <c r="M247" s="110">
        <v>44</v>
      </c>
      <c r="N247" s="110">
        <v>44</v>
      </c>
      <c r="O247" s="110">
        <v>44</v>
      </c>
      <c r="P247" s="110">
        <v>44</v>
      </c>
      <c r="Q247" s="110"/>
      <c r="R247" s="77"/>
      <c r="S247" s="77"/>
      <c r="T247" s="77"/>
      <c r="U247" s="77"/>
      <c r="V247" s="77"/>
      <c r="W247" s="77"/>
      <c r="X247" s="77"/>
      <c r="Y247" s="77"/>
      <c r="Z247" s="77"/>
      <c r="AA247" s="77"/>
      <c r="AB247" s="77"/>
      <c r="AC247" s="77"/>
      <c r="AD247" s="77"/>
      <c r="AE247" s="77"/>
      <c r="AF247" s="77"/>
      <c r="AG247" s="77"/>
      <c r="AH247" s="77"/>
      <c r="AI247" s="77"/>
      <c r="AJ247" s="77"/>
      <c r="AK247" s="78"/>
      <c r="AL247" s="106"/>
      <c r="AM247" s="107"/>
    </row>
    <row r="248" spans="1:2509" ht="15" thickBot="1" x14ac:dyDescent="0.4">
      <c r="A248" s="307"/>
      <c r="B248" s="130" t="s">
        <v>211</v>
      </c>
      <c r="C248" s="131">
        <v>4000</v>
      </c>
    </row>
    <row r="249" spans="1:2509" x14ac:dyDescent="0.35">
      <c r="A249" s="307"/>
      <c r="B249" s="52" t="s">
        <v>698</v>
      </c>
      <c r="C249" s="132">
        <v>0</v>
      </c>
      <c r="D249" s="132">
        <v>300</v>
      </c>
      <c r="E249" s="132">
        <v>600</v>
      </c>
      <c r="F249" s="132">
        <v>900</v>
      </c>
      <c r="G249" s="132">
        <v>1200</v>
      </c>
      <c r="H249" s="132">
        <v>1500</v>
      </c>
      <c r="I249" s="132">
        <v>1800</v>
      </c>
      <c r="J249" s="132">
        <v>2100</v>
      </c>
      <c r="K249" s="132">
        <v>2400</v>
      </c>
      <c r="L249" s="132">
        <v>2700</v>
      </c>
      <c r="M249" s="132">
        <v>3000</v>
      </c>
      <c r="N249" s="132">
        <v>3300</v>
      </c>
      <c r="O249" s="132">
        <v>3600</v>
      </c>
      <c r="P249" s="132">
        <v>3900</v>
      </c>
      <c r="Q249" s="18"/>
      <c r="R249" s="18"/>
      <c r="S249" s="18"/>
      <c r="T249" s="18"/>
      <c r="U249" s="18"/>
      <c r="V249" s="18"/>
      <c r="W249" s="18"/>
      <c r="X249" s="18"/>
      <c r="Y249" s="133"/>
      <c r="Z249" s="104"/>
      <c r="AA249" s="104"/>
      <c r="AB249" s="104"/>
      <c r="AC249" s="104"/>
      <c r="AD249" s="104"/>
      <c r="AE249" s="104"/>
      <c r="AF249" s="134"/>
      <c r="AG249" s="104"/>
      <c r="AH249" s="104"/>
      <c r="AI249" s="104"/>
      <c r="AJ249" s="104"/>
      <c r="AK249" s="105"/>
    </row>
    <row r="250" spans="1:2509" ht="15" thickBot="1" x14ac:dyDescent="0.4">
      <c r="A250" s="307"/>
      <c r="B250" s="52" t="s">
        <v>212</v>
      </c>
      <c r="C250" s="295">
        <v>0</v>
      </c>
      <c r="D250" s="136">
        <v>17.2759</v>
      </c>
      <c r="E250" s="136">
        <v>31.657699999999998</v>
      </c>
      <c r="F250" s="136">
        <v>41.206899999999997</v>
      </c>
      <c r="G250" s="136">
        <v>48.093000000000004</v>
      </c>
      <c r="H250" s="135">
        <v>51.438600000000001</v>
      </c>
      <c r="I250" s="135">
        <v>52.2</v>
      </c>
      <c r="J250" s="135">
        <v>52.2</v>
      </c>
      <c r="K250" s="135">
        <v>52.2</v>
      </c>
      <c r="L250" s="135">
        <v>52.2</v>
      </c>
      <c r="M250" s="135">
        <v>52.2</v>
      </c>
      <c r="N250" s="135">
        <v>52.2</v>
      </c>
      <c r="O250" s="135">
        <v>52.2</v>
      </c>
      <c r="P250" s="135">
        <v>52.2</v>
      </c>
      <c r="Q250" s="21"/>
      <c r="R250" s="21"/>
      <c r="S250" s="21"/>
      <c r="T250" s="21"/>
      <c r="U250" s="21"/>
      <c r="V250" s="21"/>
      <c r="W250" s="21"/>
      <c r="X250" s="21"/>
      <c r="Y250" s="137"/>
      <c r="Z250" s="77"/>
      <c r="AA250" s="77"/>
      <c r="AB250" s="77"/>
      <c r="AC250" s="77"/>
      <c r="AD250" s="77"/>
      <c r="AE250" s="77"/>
      <c r="AF250" s="138"/>
      <c r="AG250" s="77"/>
      <c r="AH250" s="77"/>
      <c r="AI250" s="77"/>
      <c r="AJ250" s="77"/>
      <c r="AK250" s="78"/>
    </row>
    <row r="251" spans="1:2509" x14ac:dyDescent="0.35">
      <c r="A251" s="307"/>
      <c r="B251" s="130" t="s">
        <v>699</v>
      </c>
      <c r="C251" s="295">
        <v>3000</v>
      </c>
      <c r="D251" s="140"/>
      <c r="E251" s="140"/>
      <c r="F251" s="140"/>
      <c r="G251" s="140"/>
      <c r="H251" s="139"/>
      <c r="I251" s="139"/>
      <c r="J251" s="139"/>
      <c r="K251" s="139"/>
      <c r="L251" s="139"/>
      <c r="M251" s="139"/>
      <c r="N251" s="139"/>
      <c r="O251" s="139"/>
      <c r="P251" s="139"/>
      <c r="Q251" s="141"/>
      <c r="R251" s="141"/>
      <c r="S251" s="141"/>
      <c r="T251" s="141"/>
      <c r="U251" s="141"/>
      <c r="V251" s="141"/>
      <c r="W251" s="141"/>
      <c r="X251" s="141"/>
      <c r="Y251" s="141"/>
    </row>
    <row r="252" spans="1:2509" x14ac:dyDescent="0.35">
      <c r="A252" s="307"/>
      <c r="B252" s="52" t="s">
        <v>700</v>
      </c>
      <c r="C252" s="237">
        <v>0</v>
      </c>
      <c r="D252" s="237">
        <v>300</v>
      </c>
      <c r="E252" s="237">
        <v>600</v>
      </c>
      <c r="F252" s="237">
        <v>900</v>
      </c>
      <c r="G252" s="237">
        <v>1200</v>
      </c>
      <c r="H252" s="237">
        <v>1500</v>
      </c>
      <c r="I252" s="237">
        <v>1800</v>
      </c>
      <c r="J252" s="237">
        <v>2100</v>
      </c>
      <c r="K252" s="237">
        <v>2400</v>
      </c>
      <c r="L252" s="237">
        <v>2700</v>
      </c>
      <c r="M252" s="237">
        <v>3000</v>
      </c>
      <c r="N252" s="139"/>
      <c r="O252" s="139"/>
      <c r="P252" s="139"/>
      <c r="Q252" s="141"/>
      <c r="R252" s="141"/>
      <c r="S252" s="141"/>
      <c r="T252" s="141"/>
      <c r="U252" s="141"/>
      <c r="V252" s="141"/>
      <c r="W252" s="141"/>
      <c r="X252" s="141"/>
      <c r="Y252" s="141"/>
    </row>
    <row r="253" spans="1:2509" x14ac:dyDescent="0.35">
      <c r="A253" s="307"/>
      <c r="B253" s="52" t="s">
        <v>701</v>
      </c>
      <c r="C253" s="237">
        <v>0</v>
      </c>
      <c r="D253" s="237">
        <v>15.434789400000001</v>
      </c>
      <c r="E253" s="237">
        <v>25.261799999999997</v>
      </c>
      <c r="F253" s="237">
        <v>32.515940999999998</v>
      </c>
      <c r="G253" s="237">
        <v>35.294185200000001</v>
      </c>
      <c r="H253" s="237">
        <v>35.294185200000001</v>
      </c>
      <c r="I253" s="237">
        <v>35.294185200000001</v>
      </c>
      <c r="J253" s="237">
        <v>35.294185200000001</v>
      </c>
      <c r="K253" s="237">
        <v>35.294185200000001</v>
      </c>
      <c r="L253" s="237">
        <v>35.294185200000001</v>
      </c>
      <c r="M253" s="237">
        <v>35.294185200000001</v>
      </c>
      <c r="N253" s="139"/>
      <c r="O253" s="139"/>
      <c r="P253" s="139"/>
      <c r="Q253" s="141"/>
      <c r="R253" s="141"/>
      <c r="S253" s="141"/>
      <c r="T253" s="141"/>
      <c r="U253" s="141"/>
      <c r="V253" s="141"/>
      <c r="W253" s="141"/>
      <c r="X253" s="141"/>
      <c r="Y253" s="141"/>
    </row>
    <row r="254" spans="1:2509" x14ac:dyDescent="0.35">
      <c r="B254" s="83"/>
      <c r="N254" s="139"/>
      <c r="O254" s="139"/>
      <c r="P254" s="139"/>
      <c r="Q254" s="141"/>
      <c r="R254" s="141"/>
      <c r="S254" s="141"/>
      <c r="T254" s="141"/>
      <c r="U254" s="141"/>
      <c r="V254" s="141"/>
      <c r="W254" s="141"/>
      <c r="X254" s="141"/>
      <c r="Y254" s="141"/>
    </row>
    <row r="255" spans="1:2509" ht="15" thickBot="1" x14ac:dyDescent="0.4">
      <c r="B255"/>
      <c r="C255" s="30"/>
    </row>
    <row r="256" spans="1:2509" s="32" customFormat="1" ht="15.75" customHeight="1" thickBot="1" x14ac:dyDescent="0.4">
      <c r="A256" s="338" t="s">
        <v>213</v>
      </c>
      <c r="B256" s="339"/>
      <c r="C256" s="339"/>
      <c r="D256" s="339"/>
      <c r="E256" s="339"/>
      <c r="F256" s="339"/>
      <c r="G256" s="339"/>
      <c r="H256" s="339"/>
      <c r="I256" s="339"/>
      <c r="J256" s="339"/>
      <c r="K256" s="339"/>
      <c r="L256" s="339"/>
      <c r="M256" s="339"/>
      <c r="N256" s="339"/>
      <c r="O256" s="339"/>
      <c r="P256" s="339"/>
      <c r="Q256" s="339"/>
      <c r="R256" s="339"/>
      <c r="S256" s="339"/>
      <c r="T256" s="340"/>
      <c r="U256" s="142"/>
      <c r="V256" s="143"/>
      <c r="W256" s="142"/>
      <c r="X256" s="142"/>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row>
    <row r="257" spans="1:113" s="32" customFormat="1" x14ac:dyDescent="0.35">
      <c r="A257" s="144" t="s">
        <v>152</v>
      </c>
      <c r="B257" s="227" t="s">
        <v>214</v>
      </c>
      <c r="C257" s="227" t="s">
        <v>215</v>
      </c>
      <c r="D257" s="18"/>
      <c r="E257" s="227" t="s">
        <v>216</v>
      </c>
      <c r="F257" s="227" t="s">
        <v>217</v>
      </c>
      <c r="G257" s="147">
        <v>1995</v>
      </c>
      <c r="H257" s="147">
        <v>2007</v>
      </c>
      <c r="I257" s="147">
        <v>2015</v>
      </c>
      <c r="J257" s="147">
        <v>2020</v>
      </c>
      <c r="K257" s="147">
        <v>2030</v>
      </c>
      <c r="L257" s="147">
        <v>2040</v>
      </c>
      <c r="M257" s="147">
        <v>2050</v>
      </c>
      <c r="N257" s="147">
        <v>2060</v>
      </c>
      <c r="O257" s="147">
        <v>2070</v>
      </c>
      <c r="P257" s="147">
        <v>2080</v>
      </c>
      <c r="Q257" s="147">
        <v>2090</v>
      </c>
      <c r="R257" s="236">
        <v>2100</v>
      </c>
      <c r="S257" s="145" t="s">
        <v>218</v>
      </c>
      <c r="T257" s="145" t="s">
        <v>219</v>
      </c>
      <c r="U257" s="145" t="s">
        <v>220</v>
      </c>
      <c r="V257" s="146" t="s">
        <v>221</v>
      </c>
      <c r="W257" s="145" t="s">
        <v>222</v>
      </c>
      <c r="X257" s="145"/>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row>
    <row r="258" spans="1:113" x14ac:dyDescent="0.35">
      <c r="A258" s="145"/>
      <c r="B258" s="147" t="s">
        <v>223</v>
      </c>
      <c r="C258" s="147" t="s">
        <v>224</v>
      </c>
      <c r="D258" s="10"/>
      <c r="E258" s="147" t="s">
        <v>225</v>
      </c>
      <c r="F258" s="147" t="s">
        <v>4</v>
      </c>
      <c r="S258" s="145" t="s">
        <v>226</v>
      </c>
      <c r="T258" s="145" t="s">
        <v>226</v>
      </c>
      <c r="U258" s="145" t="s">
        <v>4</v>
      </c>
      <c r="V258" s="145" t="s">
        <v>4</v>
      </c>
      <c r="W258" s="145" t="s">
        <v>4</v>
      </c>
      <c r="X258" s="145"/>
    </row>
    <row r="259" spans="1:113" x14ac:dyDescent="0.35">
      <c r="A259" s="229" t="s">
        <v>230</v>
      </c>
      <c r="B259" s="232"/>
      <c r="C259" s="233"/>
      <c r="D259" s="228"/>
      <c r="E259" s="128"/>
      <c r="F259" s="235"/>
      <c r="S259" s="233">
        <v>2</v>
      </c>
      <c r="T259" s="233">
        <v>2</v>
      </c>
      <c r="U259" s="233">
        <v>1</v>
      </c>
      <c r="V259" s="230"/>
      <c r="W259" s="231"/>
      <c r="X259" s="234"/>
    </row>
    <row r="260" spans="1:113" x14ac:dyDescent="0.35">
      <c r="A260" s="148" t="s">
        <v>67</v>
      </c>
      <c r="B260" s="50">
        <v>0.5</v>
      </c>
      <c r="C260" s="50"/>
      <c r="D260" s="50"/>
      <c r="E260" s="50">
        <v>9</v>
      </c>
      <c r="F260" s="50"/>
      <c r="S260" s="50">
        <v>3.5</v>
      </c>
      <c r="T260" s="50">
        <v>2</v>
      </c>
      <c r="U260" s="50">
        <v>1</v>
      </c>
      <c r="V260" s="50"/>
      <c r="W260" s="50">
        <v>7</v>
      </c>
      <c r="X260" s="150"/>
    </row>
    <row r="261" spans="1:113" x14ac:dyDescent="0.35">
      <c r="A261" s="148" t="s">
        <v>227</v>
      </c>
      <c r="B261" s="50">
        <v>0</v>
      </c>
      <c r="C261" s="50"/>
      <c r="D261" s="50"/>
      <c r="E261" s="50">
        <v>0</v>
      </c>
      <c r="F261" s="50"/>
      <c r="S261" s="50">
        <v>0.5</v>
      </c>
      <c r="T261" s="50">
        <v>2</v>
      </c>
      <c r="U261" s="50">
        <v>1</v>
      </c>
      <c r="V261" s="50"/>
      <c r="W261" s="50">
        <v>1.5</v>
      </c>
      <c r="X261" s="150"/>
    </row>
    <row r="262" spans="1:113" x14ac:dyDescent="0.35">
      <c r="A262" s="148" t="s">
        <v>71</v>
      </c>
      <c r="B262" s="50">
        <v>0</v>
      </c>
      <c r="C262" s="50"/>
      <c r="D262" s="50"/>
      <c r="E262" s="50"/>
      <c r="F262" s="50"/>
      <c r="S262" s="50">
        <v>0.5</v>
      </c>
      <c r="T262" s="50">
        <v>2</v>
      </c>
      <c r="U262" s="50">
        <v>0</v>
      </c>
      <c r="V262" s="50"/>
      <c r="W262" s="50">
        <v>3.25</v>
      </c>
      <c r="X262" s="150"/>
    </row>
    <row r="263" spans="1:113" x14ac:dyDescent="0.35">
      <c r="A263" s="148" t="s">
        <v>73</v>
      </c>
      <c r="B263" s="50">
        <v>2.5000000000000001E-2</v>
      </c>
      <c r="C263" s="50"/>
      <c r="D263" s="50"/>
      <c r="E263" s="50"/>
      <c r="F263" s="50"/>
      <c r="S263" s="50">
        <v>1</v>
      </c>
      <c r="T263" s="50">
        <v>2</v>
      </c>
      <c r="U263" s="50">
        <v>0</v>
      </c>
      <c r="V263" s="50"/>
      <c r="W263" s="50">
        <v>0</v>
      </c>
      <c r="X263" s="150"/>
    </row>
    <row r="264" spans="1:113" x14ac:dyDescent="0.35">
      <c r="A264" s="152" t="s">
        <v>229</v>
      </c>
      <c r="B264" s="50">
        <v>0.01</v>
      </c>
      <c r="C264" s="50"/>
      <c r="D264" s="50"/>
      <c r="E264" s="50"/>
      <c r="F264" s="50"/>
      <c r="S264" s="50">
        <v>0.5</v>
      </c>
      <c r="T264" s="50">
        <v>4</v>
      </c>
      <c r="U264" s="50">
        <v>0</v>
      </c>
      <c r="V264" s="50"/>
      <c r="W264" s="50">
        <v>0</v>
      </c>
      <c r="X264" s="150"/>
    </row>
    <row r="265" spans="1:113" x14ac:dyDescent="0.35">
      <c r="A265" s="148" t="s">
        <v>77</v>
      </c>
      <c r="B265" s="50">
        <v>0</v>
      </c>
      <c r="C265" s="50"/>
      <c r="D265" s="50"/>
      <c r="E265" s="50"/>
      <c r="F265" s="50"/>
      <c r="S265" s="151">
        <v>0.5</v>
      </c>
      <c r="T265" s="50">
        <v>1</v>
      </c>
      <c r="U265" s="50">
        <v>0</v>
      </c>
      <c r="V265" s="50"/>
      <c r="W265" s="50">
        <v>0</v>
      </c>
      <c r="X265" s="150"/>
    </row>
    <row r="266" spans="1:113" x14ac:dyDescent="0.35">
      <c r="A266" s="157" t="s">
        <v>233</v>
      </c>
      <c r="B266" s="50">
        <v>3.3000000000000002E-2</v>
      </c>
      <c r="C266" s="50"/>
      <c r="D266" s="50"/>
      <c r="E266" s="50"/>
      <c r="F266" s="50"/>
      <c r="S266" s="50">
        <v>0.5</v>
      </c>
      <c r="T266" s="50">
        <v>2</v>
      </c>
      <c r="U266" s="50">
        <v>0</v>
      </c>
      <c r="V266" s="50"/>
      <c r="W266" s="50">
        <v>0</v>
      </c>
      <c r="X266" s="150"/>
    </row>
    <row r="267" spans="1:113" x14ac:dyDescent="0.35">
      <c r="A267" s="148" t="s">
        <v>232</v>
      </c>
      <c r="B267" s="50" t="s">
        <v>228</v>
      </c>
      <c r="C267" s="50">
        <v>40</v>
      </c>
      <c r="D267" s="50"/>
      <c r="E267" s="50"/>
      <c r="F267" s="50"/>
      <c r="S267" s="156">
        <v>1</v>
      </c>
      <c r="T267" s="50">
        <v>8</v>
      </c>
      <c r="U267" s="50"/>
      <c r="V267" s="149"/>
      <c r="W267" s="50"/>
      <c r="X267" s="150"/>
    </row>
    <row r="268" spans="1:113" x14ac:dyDescent="0.35">
      <c r="A268" s="157" t="s">
        <v>234</v>
      </c>
      <c r="B268" s="53"/>
      <c r="C268" s="50">
        <v>25</v>
      </c>
      <c r="D268" s="50"/>
      <c r="E268" s="53"/>
      <c r="F268" s="158"/>
      <c r="G268" s="53"/>
      <c r="H268" s="159"/>
      <c r="I268" s="159"/>
      <c r="J268" s="159"/>
      <c r="K268" s="159"/>
      <c r="L268" s="53"/>
      <c r="M268" s="53"/>
      <c r="N268" s="53"/>
      <c r="O268" s="53"/>
      <c r="P268" s="53"/>
      <c r="Q268" s="53"/>
      <c r="R268" s="53"/>
      <c r="S268" s="50"/>
      <c r="T268" s="50"/>
      <c r="U268" s="53"/>
      <c r="V268" s="53"/>
      <c r="W268" s="50">
        <v>5</v>
      </c>
      <c r="X268" s="53"/>
    </row>
    <row r="269" spans="1:113" x14ac:dyDescent="0.35">
      <c r="A269" s="148" t="s">
        <v>235</v>
      </c>
      <c r="B269" s="159"/>
      <c r="C269" s="128">
        <v>25</v>
      </c>
      <c r="D269" s="128"/>
      <c r="E269" s="159"/>
      <c r="F269" s="128"/>
      <c r="G269" s="159"/>
      <c r="H269" s="159"/>
      <c r="I269" s="159"/>
      <c r="J269" s="159"/>
      <c r="K269" s="159"/>
      <c r="L269" s="159"/>
      <c r="M269" s="159"/>
      <c r="N269" s="159"/>
      <c r="O269" s="159"/>
      <c r="P269" s="159"/>
      <c r="Q269" s="159"/>
      <c r="R269" s="159"/>
      <c r="S269" s="128"/>
      <c r="T269" s="128"/>
      <c r="U269" s="159"/>
      <c r="V269" s="159"/>
      <c r="W269" s="53"/>
      <c r="X269" s="53"/>
    </row>
    <row r="270" spans="1:113" ht="15" thickBot="1" x14ac:dyDescent="0.4">
      <c r="A270" s="160" t="s">
        <v>236</v>
      </c>
      <c r="B270" s="161"/>
      <c r="C270" s="37">
        <f>+C261</f>
        <v>0</v>
      </c>
      <c r="D270" s="37"/>
      <c r="E270" s="161"/>
      <c r="F270" s="37"/>
      <c r="G270" s="161"/>
      <c r="H270" s="161"/>
      <c r="I270" s="161"/>
      <c r="J270" s="161"/>
      <c r="K270" s="161"/>
      <c r="L270" s="161"/>
      <c r="M270" s="161"/>
      <c r="N270" s="161"/>
      <c r="O270" s="161"/>
      <c r="P270" s="161"/>
      <c r="Q270" s="161"/>
      <c r="R270" s="161"/>
      <c r="S270" s="37"/>
      <c r="T270" s="37"/>
      <c r="U270" s="161"/>
      <c r="V270" s="161"/>
      <c r="W270" s="37">
        <v>10</v>
      </c>
      <c r="X270" s="161"/>
    </row>
    <row r="271" spans="1:113" s="32" customFormat="1" x14ac:dyDescent="0.35">
      <c r="E271" s="341" t="s">
        <v>230</v>
      </c>
      <c r="F271" s="153" t="s">
        <v>231</v>
      </c>
      <c r="G271" s="149"/>
      <c r="H271" s="154"/>
      <c r="I271" s="154"/>
      <c r="J271" s="154"/>
      <c r="K271" s="154"/>
      <c r="L271" s="149"/>
      <c r="M271" s="149"/>
      <c r="N271" s="149"/>
      <c r="O271" s="149"/>
      <c r="P271" s="149"/>
      <c r="Q271" s="149"/>
      <c r="R271" s="149"/>
      <c r="Y271"/>
      <c r="Z271"/>
      <c r="AA271"/>
      <c r="AB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row>
    <row r="272" spans="1:113" x14ac:dyDescent="0.35">
      <c r="B272"/>
      <c r="E272" s="342"/>
      <c r="F272" s="155" t="s">
        <v>237</v>
      </c>
      <c r="G272">
        <v>0.04</v>
      </c>
      <c r="H272">
        <v>0.04</v>
      </c>
      <c r="I272">
        <v>0.04</v>
      </c>
      <c r="J272">
        <v>0.04</v>
      </c>
      <c r="K272" s="80">
        <v>3.7922077922077926E-2</v>
      </c>
      <c r="L272" s="80">
        <v>3.4545454545454553E-2</v>
      </c>
      <c r="M272" s="80">
        <v>3.3896103896103896E-2</v>
      </c>
      <c r="N272" s="80">
        <v>3.3896103896103896E-2</v>
      </c>
      <c r="O272" s="80">
        <v>3.3896103896103896E-2</v>
      </c>
      <c r="P272" s="80">
        <v>3.3896103896103896E-2</v>
      </c>
      <c r="Q272" s="80">
        <v>3.3896103896103896E-2</v>
      </c>
      <c r="R272" s="80">
        <v>3.3896103896103896E-2</v>
      </c>
    </row>
    <row r="273" spans="1:113" ht="15" thickBot="1" x14ac:dyDescent="0.4">
      <c r="A273" s="54" t="s">
        <v>31</v>
      </c>
      <c r="B273" s="237"/>
      <c r="C273" s="237"/>
      <c r="D273" s="237"/>
      <c r="E273" s="343"/>
      <c r="F273" s="155" t="s">
        <v>238</v>
      </c>
      <c r="G273" s="237">
        <v>50</v>
      </c>
      <c r="H273" s="237">
        <v>50</v>
      </c>
      <c r="I273" s="237">
        <v>50</v>
      </c>
      <c r="J273" s="237">
        <v>50</v>
      </c>
      <c r="K273" s="162">
        <v>47.402597402597408</v>
      </c>
      <c r="L273" s="162">
        <v>43.181818181818194</v>
      </c>
      <c r="M273" s="162">
        <v>42.370129870129873</v>
      </c>
      <c r="N273" s="162">
        <v>42.370129870129873</v>
      </c>
      <c r="O273" s="162">
        <v>42.370129870129873</v>
      </c>
      <c r="P273" s="162">
        <v>42.370129870129873</v>
      </c>
      <c r="Q273" s="162">
        <v>42.370129870129873</v>
      </c>
      <c r="R273" s="162">
        <v>42.370129870129873</v>
      </c>
      <c r="S273" s="237"/>
      <c r="T273" s="237"/>
      <c r="U273" s="237"/>
      <c r="V273" s="237"/>
      <c r="W273" s="237"/>
      <c r="X273" s="163"/>
    </row>
    <row r="274" spans="1:113" x14ac:dyDescent="0.35">
      <c r="M274" s="142"/>
      <c r="N274" s="142"/>
      <c r="O274" s="142"/>
      <c r="P274" s="142"/>
      <c r="Q274" s="142"/>
      <c r="R274" s="142"/>
      <c r="S274" s="142"/>
      <c r="T274" s="142"/>
      <c r="U274" s="142"/>
      <c r="V274" s="142"/>
      <c r="W274" s="142"/>
      <c r="X274" s="142"/>
      <c r="Y274" s="142"/>
      <c r="Z274" s="142"/>
      <c r="AA274" s="142"/>
      <c r="AB274" s="142"/>
      <c r="AE274" s="142"/>
      <c r="AF274" s="142"/>
      <c r="AG274" s="142"/>
      <c r="AH274" s="142"/>
      <c r="AI274" s="142"/>
      <c r="AJ274" s="142"/>
      <c r="AK274" s="142"/>
      <c r="AL274" s="142"/>
      <c r="AM274" s="142"/>
      <c r="AN274" s="142"/>
      <c r="AO274" s="142"/>
      <c r="AP274" s="142"/>
      <c r="AQ274" s="142"/>
      <c r="AR274" s="142"/>
      <c r="AS274" s="142"/>
      <c r="AT274" s="142"/>
      <c r="AU274" s="142"/>
      <c r="AV274" s="142"/>
      <c r="AW274" s="142"/>
      <c r="AX274" s="142"/>
      <c r="AY274" s="142"/>
      <c r="AZ274" s="142"/>
      <c r="BA274" s="142"/>
      <c r="BB274" s="142"/>
      <c r="BC274" s="142"/>
      <c r="BD274" s="142"/>
      <c r="BE274" s="142"/>
      <c r="BF274" s="142"/>
      <c r="BG274" s="142"/>
      <c r="BH274" s="142"/>
      <c r="BI274" s="142"/>
      <c r="BJ274" s="142"/>
      <c r="BK274" s="142"/>
      <c r="BL274" s="142"/>
      <c r="BM274" s="142"/>
      <c r="BN274" s="142"/>
      <c r="BO274" s="142"/>
      <c r="BP274" s="142"/>
      <c r="BQ274" s="142"/>
      <c r="BR274" s="142"/>
      <c r="BS274" s="142"/>
      <c r="BT274" s="142"/>
      <c r="BU274" s="142"/>
      <c r="BV274" s="142"/>
      <c r="BW274" s="142"/>
      <c r="BX274" s="142"/>
      <c r="BY274" s="142"/>
      <c r="BZ274" s="142"/>
      <c r="CA274" s="142"/>
      <c r="CB274" s="142"/>
      <c r="CC274" s="142"/>
      <c r="CD274" s="142"/>
      <c r="CE274" s="142"/>
      <c r="CF274" s="142"/>
      <c r="CG274" s="142"/>
      <c r="CH274" s="142"/>
      <c r="CI274" s="142"/>
      <c r="CJ274" s="142"/>
      <c r="CK274" s="142"/>
      <c r="CL274" s="142"/>
      <c r="CM274" s="142"/>
      <c r="CN274" s="142"/>
      <c r="CO274" s="142"/>
      <c r="CP274" s="142"/>
      <c r="CQ274" s="142"/>
      <c r="CR274" s="142"/>
      <c r="CS274" s="142"/>
      <c r="CT274" s="142"/>
      <c r="CU274" s="142"/>
      <c r="CV274" s="142"/>
      <c r="CW274" s="142"/>
      <c r="CX274" s="142"/>
      <c r="CY274" s="142"/>
      <c r="CZ274" s="142"/>
      <c r="DA274" s="142"/>
      <c r="DB274" s="142"/>
      <c r="DC274" s="142"/>
      <c r="DD274" s="142"/>
      <c r="DE274" s="142"/>
      <c r="DF274" s="142"/>
      <c r="DG274" s="142"/>
      <c r="DH274" s="142"/>
      <c r="DI274" s="142"/>
    </row>
    <row r="276" spans="1:113" ht="15" thickBot="1" x14ac:dyDescent="0.4">
      <c r="M276" s="44"/>
      <c r="N276" s="44"/>
      <c r="O276" s="44"/>
      <c r="P276" s="44"/>
      <c r="Q276" s="44"/>
      <c r="R276" s="44"/>
      <c r="S276" s="44"/>
      <c r="T276" s="44"/>
      <c r="U276" s="44"/>
      <c r="V276" s="44"/>
      <c r="W276" s="44"/>
      <c r="X276" s="44"/>
      <c r="Y276" s="44"/>
      <c r="Z276" s="44"/>
      <c r="AA276" s="44"/>
      <c r="AB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row>
    <row r="277" spans="1:113" x14ac:dyDescent="0.35">
      <c r="B277"/>
    </row>
    <row r="278" spans="1:113" ht="15" thickBot="1" x14ac:dyDescent="0.4">
      <c r="B278"/>
    </row>
    <row r="279" spans="1:113" x14ac:dyDescent="0.35">
      <c r="A279" s="164"/>
      <c r="B279" s="165"/>
      <c r="C279" s="165"/>
      <c r="D279" s="165"/>
      <c r="E279" s="165"/>
      <c r="F279" s="165"/>
      <c r="G279" s="165"/>
      <c r="H279" s="165"/>
      <c r="I279" s="165"/>
      <c r="J279" s="165"/>
      <c r="K279" s="165"/>
      <c r="L279" s="165"/>
      <c r="M279" s="165"/>
      <c r="N279" s="165"/>
      <c r="O279" s="165"/>
      <c r="P279" s="166"/>
    </row>
    <row r="280" spans="1:113" ht="15" thickBot="1" x14ac:dyDescent="0.4">
      <c r="A280" s="160"/>
      <c r="B280" s="77"/>
      <c r="C280" s="77"/>
      <c r="D280" s="77"/>
      <c r="E280" s="77"/>
      <c r="F280" s="77"/>
      <c r="G280" s="77"/>
      <c r="H280" s="77"/>
      <c r="I280" s="77"/>
      <c r="J280" s="77"/>
      <c r="K280" s="77"/>
      <c r="L280" s="77"/>
      <c r="M280" s="77"/>
      <c r="N280" s="77"/>
      <c r="O280" s="77"/>
      <c r="P280" s="78"/>
    </row>
    <row r="281" spans="1:113" x14ac:dyDescent="0.35">
      <c r="B281"/>
    </row>
    <row r="284" spans="1:113" ht="15" thickBot="1" x14ac:dyDescent="0.4">
      <c r="B284"/>
    </row>
    <row r="285" spans="1:113" ht="15" thickBot="1" x14ac:dyDescent="0.4">
      <c r="A285" s="344" t="s">
        <v>239</v>
      </c>
      <c r="B285" s="345"/>
      <c r="C285" s="345"/>
      <c r="D285" s="345"/>
      <c r="E285" s="345"/>
      <c r="F285" s="345"/>
      <c r="G285" s="346"/>
    </row>
    <row r="286" spans="1:113" x14ac:dyDescent="0.35">
      <c r="A286" s="167" t="s">
        <v>240</v>
      </c>
      <c r="B286" s="100"/>
      <c r="C286" s="168"/>
      <c r="E286" s="169" t="s">
        <v>50</v>
      </c>
      <c r="F286" s="170"/>
      <c r="G286" s="171"/>
      <c r="I286" s="169" t="s">
        <v>241</v>
      </c>
      <c r="J286" s="170"/>
      <c r="K286" s="171"/>
    </row>
    <row r="287" spans="1:113" x14ac:dyDescent="0.35">
      <c r="A287" s="148"/>
      <c r="B287" s="237"/>
      <c r="C287" s="237"/>
      <c r="E287" s="148" t="s">
        <v>242</v>
      </c>
      <c r="F287" s="237" t="s">
        <v>4</v>
      </c>
      <c r="G287" s="172">
        <v>0.9</v>
      </c>
      <c r="I287" s="148" t="s">
        <v>243</v>
      </c>
      <c r="J287" s="237" t="s">
        <v>244</v>
      </c>
      <c r="K287" s="173">
        <v>168</v>
      </c>
      <c r="AN287" s="174"/>
    </row>
    <row r="288" spans="1:113" x14ac:dyDescent="0.35">
      <c r="A288" s="148"/>
      <c r="B288" s="237"/>
      <c r="C288" s="237"/>
      <c r="E288" s="148" t="s">
        <v>245</v>
      </c>
      <c r="F288" s="237" t="s">
        <v>4</v>
      </c>
      <c r="G288" s="64">
        <v>0.5</v>
      </c>
      <c r="I288" s="148" t="s">
        <v>246</v>
      </c>
      <c r="J288" s="237" t="s">
        <v>4</v>
      </c>
      <c r="K288" s="64">
        <v>0.67</v>
      </c>
      <c r="L288" s="175"/>
    </row>
    <row r="289" spans="1:40" x14ac:dyDescent="0.35">
      <c r="A289" s="148"/>
      <c r="B289" s="237"/>
      <c r="C289" s="237"/>
      <c r="E289" s="148"/>
      <c r="F289" s="237"/>
      <c r="G289" s="46"/>
      <c r="I289" s="176" t="s">
        <v>248</v>
      </c>
      <c r="J289" s="237" t="s">
        <v>4</v>
      </c>
      <c r="K289" s="237">
        <v>0.23</v>
      </c>
      <c r="L289" s="29"/>
    </row>
    <row r="290" spans="1:40" x14ac:dyDescent="0.35">
      <c r="A290" s="148"/>
      <c r="B290" s="237"/>
      <c r="C290" s="237"/>
      <c r="E290" s="148"/>
      <c r="F290" s="237"/>
      <c r="G290" s="46"/>
      <c r="I290" s="176" t="s">
        <v>249</v>
      </c>
      <c r="J290" s="237" t="s">
        <v>4</v>
      </c>
      <c r="K290" s="237">
        <v>0.12</v>
      </c>
      <c r="L290" s="29"/>
    </row>
    <row r="291" spans="1:40" ht="15" thickBot="1" x14ac:dyDescent="0.4">
      <c r="A291" s="177" t="s">
        <v>250</v>
      </c>
      <c r="B291" s="100"/>
      <c r="C291" s="27"/>
      <c r="E291" s="178" t="s">
        <v>251</v>
      </c>
      <c r="F291" s="114" t="s">
        <v>252</v>
      </c>
      <c r="G291" s="115">
        <v>8</v>
      </c>
      <c r="K291" s="29"/>
      <c r="L291" s="29"/>
    </row>
    <row r="292" spans="1:40" x14ac:dyDescent="0.35">
      <c r="A292" s="148"/>
      <c r="B292" s="237"/>
      <c r="C292" s="179"/>
      <c r="E292" s="148" t="s">
        <v>253</v>
      </c>
      <c r="F292" s="237" t="s">
        <v>4</v>
      </c>
      <c r="G292" s="172">
        <v>0.4</v>
      </c>
      <c r="I292" s="169" t="s">
        <v>308</v>
      </c>
      <c r="J292" s="170"/>
      <c r="K292" s="171"/>
      <c r="L292" s="29"/>
      <c r="AN292" s="174"/>
    </row>
    <row r="293" spans="1:40" x14ac:dyDescent="0.35">
      <c r="A293" s="148" t="s">
        <v>254</v>
      </c>
      <c r="B293" s="237" t="s">
        <v>4</v>
      </c>
      <c r="C293" s="180">
        <f>1/3</f>
        <v>0.33333333333333331</v>
      </c>
      <c r="E293" s="148" t="s">
        <v>255</v>
      </c>
      <c r="F293" s="237" t="s">
        <v>4</v>
      </c>
      <c r="G293" s="172">
        <f>0.15+0.22</f>
        <v>0.37</v>
      </c>
      <c r="I293" s="176" t="s">
        <v>309</v>
      </c>
      <c r="J293" s="237" t="s">
        <v>4</v>
      </c>
      <c r="K293" s="237">
        <v>0.05</v>
      </c>
      <c r="M293" s="181"/>
      <c r="N293" s="181"/>
      <c r="O293" s="181"/>
      <c r="P293" s="181"/>
      <c r="Q293" s="181"/>
      <c r="R293" s="181"/>
      <c r="S293" s="181"/>
      <c r="T293" s="181"/>
      <c r="U293" s="181"/>
      <c r="V293" s="181"/>
      <c r="W293" s="181"/>
      <c r="X293" s="181"/>
      <c r="Y293" s="181"/>
      <c r="Z293" s="181"/>
      <c r="AA293" s="181"/>
      <c r="AB293" s="181"/>
      <c r="AE293" s="181"/>
      <c r="AF293" s="181"/>
      <c r="AG293" s="181"/>
      <c r="AH293" s="181"/>
    </row>
    <row r="294" spans="1:40" x14ac:dyDescent="0.35">
      <c r="A294" s="148" t="s">
        <v>256</v>
      </c>
      <c r="B294" s="237" t="s">
        <v>4</v>
      </c>
      <c r="C294" s="237">
        <v>0.55000000000000004</v>
      </c>
      <c r="E294" s="148" t="s">
        <v>257</v>
      </c>
      <c r="F294" s="237" t="s">
        <v>4</v>
      </c>
      <c r="G294" s="172">
        <v>0.69605610177161725</v>
      </c>
      <c r="I294" s="176" t="s">
        <v>310</v>
      </c>
      <c r="J294" s="237" t="s">
        <v>4</v>
      </c>
      <c r="K294" s="237">
        <v>0.05</v>
      </c>
      <c r="L294" s="175"/>
    </row>
    <row r="295" spans="1:40" ht="15" thickBot="1" x14ac:dyDescent="0.4">
      <c r="A295" s="148" t="s">
        <v>258</v>
      </c>
      <c r="B295" s="237" t="s">
        <v>4</v>
      </c>
      <c r="C295" s="237">
        <v>0.35</v>
      </c>
      <c r="E295" s="148" t="s">
        <v>259</v>
      </c>
      <c r="F295" s="237" t="s">
        <v>260</v>
      </c>
      <c r="G295" s="172">
        <v>0.08</v>
      </c>
      <c r="H295" s="347"/>
      <c r="I295" s="347"/>
      <c r="J295" s="347"/>
      <c r="L295" s="175"/>
    </row>
    <row r="296" spans="1:40" x14ac:dyDescent="0.35">
      <c r="A296" s="148"/>
      <c r="B296" s="237"/>
      <c r="C296" s="237"/>
      <c r="E296" s="148" t="s">
        <v>261</v>
      </c>
      <c r="F296" s="237" t="s">
        <v>247</v>
      </c>
      <c r="G296" s="182">
        <v>5</v>
      </c>
      <c r="I296" s="169" t="s">
        <v>262</v>
      </c>
      <c r="J296" s="170"/>
      <c r="K296" s="171"/>
      <c r="L296" s="29" t="s">
        <v>311</v>
      </c>
    </row>
    <row r="297" spans="1:40" x14ac:dyDescent="0.35">
      <c r="A297" s="148"/>
      <c r="B297" s="237"/>
      <c r="C297" s="237"/>
      <c r="E297" s="148" t="s">
        <v>263</v>
      </c>
      <c r="F297" s="237" t="s">
        <v>4</v>
      </c>
      <c r="G297" s="172">
        <v>0.9</v>
      </c>
      <c r="I297" s="176" t="s">
        <v>264</v>
      </c>
      <c r="J297" s="237" t="s">
        <v>4</v>
      </c>
      <c r="K297" s="237">
        <v>2</v>
      </c>
      <c r="M297" s="176" t="s">
        <v>317</v>
      </c>
      <c r="N297" s="237" t="s">
        <v>4</v>
      </c>
      <c r="O297" s="237">
        <v>0</v>
      </c>
    </row>
    <row r="298" spans="1:40" x14ac:dyDescent="0.35">
      <c r="A298" s="148" t="s">
        <v>265</v>
      </c>
      <c r="B298" s="237" t="s">
        <v>4</v>
      </c>
      <c r="C298" s="237">
        <v>0.15</v>
      </c>
      <c r="E298" s="148" t="s">
        <v>266</v>
      </c>
      <c r="F298" s="237" t="s">
        <v>4</v>
      </c>
      <c r="G298" s="172">
        <v>5.4999999999999997E-3</v>
      </c>
      <c r="I298" s="176" t="s">
        <v>267</v>
      </c>
      <c r="J298" s="237" t="s">
        <v>4</v>
      </c>
      <c r="K298" s="237">
        <v>6</v>
      </c>
      <c r="M298" s="176" t="s">
        <v>318</v>
      </c>
      <c r="N298" s="237" t="s">
        <v>4</v>
      </c>
      <c r="O298" s="237">
        <v>1</v>
      </c>
    </row>
    <row r="299" spans="1:40" x14ac:dyDescent="0.35">
      <c r="A299" s="148"/>
      <c r="B299" s="237"/>
      <c r="C299" s="237"/>
      <c r="E299" s="148" t="s">
        <v>268</v>
      </c>
      <c r="F299" s="237" t="s">
        <v>269</v>
      </c>
      <c r="G299" s="173">
        <v>138240</v>
      </c>
      <c r="I299" s="148" t="s">
        <v>270</v>
      </c>
      <c r="J299" s="237" t="s">
        <v>4</v>
      </c>
      <c r="K299" s="237">
        <v>30</v>
      </c>
    </row>
    <row r="300" spans="1:40" x14ac:dyDescent="0.35">
      <c r="A300" s="148"/>
      <c r="B300" s="237"/>
      <c r="C300" s="237"/>
      <c r="E300" s="148" t="s">
        <v>271</v>
      </c>
      <c r="F300" s="237" t="s">
        <v>272</v>
      </c>
      <c r="G300" s="172">
        <v>80</v>
      </c>
      <c r="M300" s="237" t="s">
        <v>314</v>
      </c>
      <c r="N300" s="237" t="s">
        <v>4</v>
      </c>
      <c r="O300" s="63">
        <f>1/4</f>
        <v>0.25</v>
      </c>
    </row>
    <row r="301" spans="1:40" x14ac:dyDescent="0.35">
      <c r="A301" s="148"/>
      <c r="B301" s="237"/>
      <c r="C301" s="237"/>
      <c r="E301" s="148" t="s">
        <v>273</v>
      </c>
      <c r="F301" s="237"/>
      <c r="G301" s="172"/>
      <c r="I301" s="148" t="s">
        <v>274</v>
      </c>
      <c r="J301" s="237" t="s">
        <v>275</v>
      </c>
      <c r="K301" s="173">
        <v>50</v>
      </c>
      <c r="M301" s="237" t="s">
        <v>315</v>
      </c>
      <c r="N301" s="237" t="s">
        <v>4</v>
      </c>
      <c r="O301" s="63">
        <f>1/4</f>
        <v>0.25</v>
      </c>
    </row>
    <row r="302" spans="1:40" x14ac:dyDescent="0.35">
      <c r="A302" s="148"/>
      <c r="B302" s="237"/>
      <c r="C302" s="237"/>
      <c r="E302" s="148" t="s">
        <v>276</v>
      </c>
      <c r="F302" s="237" t="s">
        <v>4</v>
      </c>
      <c r="G302" s="172">
        <v>0.75</v>
      </c>
      <c r="I302" s="148" t="s">
        <v>277</v>
      </c>
      <c r="J302" s="237" t="s">
        <v>247</v>
      </c>
      <c r="K302" s="182">
        <v>10</v>
      </c>
    </row>
    <row r="303" spans="1:40" x14ac:dyDescent="0.35">
      <c r="A303" s="148"/>
      <c r="B303"/>
      <c r="C303" s="237"/>
    </row>
    <row r="304" spans="1:40" ht="15" thickBot="1" x14ac:dyDescent="0.4">
      <c r="A304" s="177"/>
      <c r="B304" s="100"/>
      <c r="C304" s="27"/>
      <c r="E304" s="148" t="s">
        <v>278</v>
      </c>
      <c r="F304" s="237" t="s">
        <v>4</v>
      </c>
      <c r="G304" s="172">
        <v>0.1</v>
      </c>
    </row>
    <row r="305" spans="1:113" x14ac:dyDescent="0.35">
      <c r="A305" s="148"/>
      <c r="B305" s="237"/>
      <c r="C305" s="237" t="s">
        <v>643</v>
      </c>
      <c r="E305" s="148"/>
      <c r="F305" s="237"/>
      <c r="G305" s="172"/>
      <c r="I305" s="169" t="s">
        <v>279</v>
      </c>
      <c r="J305" s="170"/>
      <c r="K305" s="171"/>
    </row>
    <row r="306" spans="1:113" x14ac:dyDescent="0.35">
      <c r="A306" s="148"/>
      <c r="B306" s="237"/>
      <c r="C306" s="237"/>
      <c r="E306" s="177" t="s">
        <v>280</v>
      </c>
      <c r="F306" s="100"/>
      <c r="G306" s="28"/>
      <c r="I306" s="176" t="s">
        <v>281</v>
      </c>
      <c r="J306" s="237" t="s">
        <v>282</v>
      </c>
      <c r="K306" s="237">
        <v>30000</v>
      </c>
      <c r="AN306" s="174"/>
    </row>
    <row r="307" spans="1:113" x14ac:dyDescent="0.35">
      <c r="A307" s="177"/>
      <c r="B307" s="100"/>
      <c r="C307" s="27"/>
      <c r="I307" s="176" t="s">
        <v>283</v>
      </c>
      <c r="J307" s="237" t="s">
        <v>282</v>
      </c>
      <c r="K307" s="237">
        <v>4000</v>
      </c>
    </row>
    <row r="308" spans="1:113" x14ac:dyDescent="0.35">
      <c r="A308" s="148"/>
      <c r="B308" s="237"/>
      <c r="C308" s="237"/>
      <c r="I308" s="176" t="s">
        <v>284</v>
      </c>
      <c r="J308" s="237" t="s">
        <v>282</v>
      </c>
      <c r="K308" s="237">
        <v>2000</v>
      </c>
    </row>
    <row r="309" spans="1:113" x14ac:dyDescent="0.35">
      <c r="A309" s="148"/>
      <c r="B309" s="237"/>
      <c r="C309" s="237"/>
      <c r="E309" s="148" t="s">
        <v>316</v>
      </c>
      <c r="F309" s="237" t="s">
        <v>4</v>
      </c>
      <c r="G309" s="172">
        <f>1/3</f>
        <v>0.33333333333333331</v>
      </c>
      <c r="I309" s="176" t="s">
        <v>285</v>
      </c>
      <c r="J309" s="237" t="s">
        <v>4</v>
      </c>
      <c r="K309" s="237">
        <v>1.5</v>
      </c>
    </row>
    <row r="310" spans="1:113" x14ac:dyDescent="0.35">
      <c r="A310" s="148"/>
      <c r="B310" s="237"/>
      <c r="C310" s="237"/>
      <c r="E310" s="177"/>
      <c r="F310" s="100"/>
      <c r="G310" s="28"/>
      <c r="I310" s="176" t="s">
        <v>286</v>
      </c>
      <c r="J310" s="237" t="s">
        <v>4</v>
      </c>
      <c r="K310" s="237">
        <v>1.25</v>
      </c>
      <c r="L310" s="183"/>
    </row>
    <row r="311" spans="1:113" x14ac:dyDescent="0.35">
      <c r="A311" s="148"/>
      <c r="B311" s="237"/>
      <c r="C311" s="237"/>
      <c r="E311" s="148"/>
      <c r="F311" s="237"/>
      <c r="G311" s="172"/>
      <c r="I311" s="176" t="s">
        <v>287</v>
      </c>
      <c r="J311" s="237" t="s">
        <v>4</v>
      </c>
      <c r="K311" s="237">
        <v>1</v>
      </c>
    </row>
    <row r="312" spans="1:113" x14ac:dyDescent="0.35">
      <c r="A312" s="148"/>
      <c r="B312" s="237"/>
      <c r="C312" s="237"/>
      <c r="E312" s="148"/>
      <c r="F312" s="237"/>
      <c r="G312" s="172"/>
      <c r="I312" s="176" t="s">
        <v>288</v>
      </c>
      <c r="J312" s="237" t="s">
        <v>4</v>
      </c>
      <c r="K312" s="237">
        <v>0.72319999999999995</v>
      </c>
    </row>
    <row r="313" spans="1:113" x14ac:dyDescent="0.35">
      <c r="A313" s="148"/>
      <c r="B313" s="237"/>
      <c r="C313" s="237"/>
      <c r="E313" s="148"/>
      <c r="F313" s="237"/>
      <c r="G313" s="172"/>
      <c r="I313" s="176" t="s">
        <v>289</v>
      </c>
      <c r="J313" s="237" t="s">
        <v>4</v>
      </c>
      <c r="K313" s="237">
        <v>0.97670000000000001</v>
      </c>
    </row>
    <row r="314" spans="1:113" x14ac:dyDescent="0.35">
      <c r="A314" s="148"/>
      <c r="B314" s="237"/>
      <c r="C314" s="237"/>
      <c r="E314" s="177" t="s">
        <v>290</v>
      </c>
      <c r="F314" s="100"/>
      <c r="G314" s="28"/>
      <c r="I314" s="184"/>
    </row>
    <row r="315" spans="1:113" x14ac:dyDescent="0.35">
      <c r="A315" s="148"/>
      <c r="B315" s="237"/>
      <c r="C315" s="237"/>
      <c r="E315" s="148" t="s">
        <v>291</v>
      </c>
      <c r="F315" s="237" t="s">
        <v>4</v>
      </c>
      <c r="G315" s="172">
        <v>20</v>
      </c>
      <c r="I315" s="175"/>
    </row>
    <row r="316" spans="1:113" x14ac:dyDescent="0.35">
      <c r="A316" s="177"/>
      <c r="B316" s="100"/>
      <c r="C316" s="27"/>
      <c r="E316" s="148" t="s">
        <v>292</v>
      </c>
      <c r="F316" s="237" t="s">
        <v>4</v>
      </c>
      <c r="G316" s="172">
        <v>3</v>
      </c>
    </row>
    <row r="317" spans="1:113" x14ac:dyDescent="0.35">
      <c r="A317" s="148"/>
      <c r="B317" s="237"/>
      <c r="C317" s="53"/>
      <c r="E317" s="148" t="s">
        <v>293</v>
      </c>
      <c r="F317" s="237" t="s">
        <v>4</v>
      </c>
      <c r="G317" s="172">
        <v>40</v>
      </c>
      <c r="I317" s="303"/>
      <c r="J317" s="303"/>
      <c r="K317" s="303"/>
      <c r="L317" s="183"/>
      <c r="M317" s="183"/>
      <c r="N317" s="183"/>
      <c r="O317" s="183"/>
      <c r="P317" s="183"/>
      <c r="Q317" s="183"/>
      <c r="R317" s="183"/>
      <c r="S317" s="183"/>
      <c r="T317" s="183"/>
      <c r="U317" s="183"/>
      <c r="V317" s="183"/>
      <c r="W317" s="183"/>
      <c r="X317" s="183"/>
      <c r="Y317" s="183"/>
      <c r="Z317" s="183"/>
      <c r="AA317" s="183"/>
      <c r="AB317" s="183"/>
      <c r="AC317" s="183"/>
      <c r="AD317" s="183"/>
      <c r="AE317" s="183"/>
      <c r="AF317" s="183"/>
      <c r="AG317" s="183"/>
      <c r="AH317" s="183"/>
      <c r="AI317" s="183"/>
      <c r="AJ317" s="183"/>
      <c r="AK317" s="183"/>
      <c r="AL317" s="183"/>
      <c r="AM317" s="183"/>
      <c r="AN317" s="183"/>
      <c r="AO317" s="183"/>
      <c r="AP317" s="183"/>
      <c r="AQ317" s="183"/>
      <c r="AR317" s="183"/>
      <c r="AS317" s="183"/>
      <c r="AT317" s="183"/>
      <c r="AU317" s="183"/>
      <c r="AV317" s="183"/>
      <c r="AW317" s="183"/>
      <c r="AX317" s="183"/>
      <c r="AY317" s="183"/>
      <c r="AZ317" s="183"/>
      <c r="BA317" s="183"/>
      <c r="BB317" s="183"/>
      <c r="BC317" s="183"/>
      <c r="BD317" s="183"/>
      <c r="BE317" s="183"/>
      <c r="BF317" s="183"/>
      <c r="BG317" s="183"/>
      <c r="BH317" s="183"/>
      <c r="BI317" s="183"/>
      <c r="BJ317" s="183"/>
      <c r="BK317" s="183"/>
      <c r="BL317" s="183"/>
      <c r="BM317" s="183"/>
      <c r="BN317" s="183"/>
      <c r="BO317" s="183"/>
      <c r="BP317" s="183"/>
      <c r="BQ317" s="183"/>
      <c r="BR317" s="183"/>
      <c r="BS317" s="183"/>
      <c r="BT317" s="183"/>
      <c r="BU317" s="183"/>
      <c r="BV317" s="183"/>
      <c r="BW317" s="183"/>
      <c r="BX317" s="183"/>
      <c r="BY317" s="183"/>
      <c r="BZ317" s="183"/>
      <c r="CA317" s="183"/>
      <c r="CB317" s="183"/>
      <c r="CC317" s="183"/>
      <c r="CD317" s="183"/>
      <c r="CE317" s="183"/>
      <c r="CF317" s="183"/>
      <c r="CG317" s="183"/>
      <c r="CH317" s="183"/>
      <c r="CI317" s="183"/>
      <c r="CJ317" s="183"/>
      <c r="CK317" s="183"/>
      <c r="CL317" s="183"/>
      <c r="CM317" s="183"/>
      <c r="CN317" s="183"/>
      <c r="CO317" s="183"/>
      <c r="CP317" s="183"/>
      <c r="CQ317" s="183"/>
      <c r="CR317" s="183"/>
      <c r="CS317" s="183"/>
      <c r="CT317" s="183"/>
      <c r="CU317" s="183"/>
      <c r="CV317" s="183"/>
      <c r="CW317" s="183"/>
      <c r="CX317" s="183"/>
      <c r="CY317" s="183"/>
      <c r="CZ317" s="183"/>
      <c r="DA317" s="183"/>
      <c r="DB317" s="183"/>
      <c r="DC317" s="183"/>
      <c r="DD317" s="183"/>
      <c r="DE317" s="183"/>
      <c r="DF317" s="183"/>
      <c r="DG317" s="183"/>
      <c r="DH317" s="183"/>
      <c r="DI317" s="183"/>
    </row>
    <row r="318" spans="1:113" x14ac:dyDescent="0.35">
      <c r="A318" s="148"/>
      <c r="B318" s="237"/>
      <c r="C318" s="53"/>
      <c r="E318" s="148" t="s">
        <v>294</v>
      </c>
      <c r="F318" s="237" t="s">
        <v>4</v>
      </c>
      <c r="G318" s="172">
        <v>10</v>
      </c>
    </row>
    <row r="319" spans="1:113" x14ac:dyDescent="0.35">
      <c r="A319" s="148"/>
      <c r="B319" s="237"/>
      <c r="C319" s="53"/>
      <c r="E319" s="148" t="s">
        <v>295</v>
      </c>
      <c r="F319" s="237" t="s">
        <v>4</v>
      </c>
      <c r="G319" s="172">
        <v>46</v>
      </c>
    </row>
    <row r="320" spans="1:113" x14ac:dyDescent="0.35">
      <c r="A320" s="148"/>
      <c r="B320" s="237"/>
      <c r="C320" s="53"/>
      <c r="E320" s="148" t="s">
        <v>296</v>
      </c>
      <c r="F320" s="237" t="s">
        <v>4</v>
      </c>
      <c r="G320" s="172">
        <v>10</v>
      </c>
    </row>
    <row r="321" spans="1:30" x14ac:dyDescent="0.35">
      <c r="A321" s="177" t="s">
        <v>297</v>
      </c>
      <c r="B321" s="100"/>
      <c r="C321" s="27"/>
      <c r="E321" s="148"/>
      <c r="F321" s="237"/>
      <c r="G321" s="172"/>
    </row>
    <row r="322" spans="1:30" x14ac:dyDescent="0.35">
      <c r="A322" s="148" t="s">
        <v>298</v>
      </c>
      <c r="B322" s="237" t="s">
        <v>299</v>
      </c>
      <c r="C322" s="237">
        <v>1526</v>
      </c>
      <c r="E322" s="177" t="s">
        <v>300</v>
      </c>
      <c r="F322" s="100"/>
      <c r="G322" s="28"/>
    </row>
    <row r="323" spans="1:30" x14ac:dyDescent="0.35">
      <c r="A323" s="148" t="s">
        <v>301</v>
      </c>
      <c r="B323" s="237" t="s">
        <v>299</v>
      </c>
      <c r="C323" s="237">
        <v>300</v>
      </c>
      <c r="E323" s="148" t="s">
        <v>302</v>
      </c>
      <c r="F323" s="237" t="s">
        <v>4</v>
      </c>
      <c r="G323" s="172">
        <v>0.35599999999999998</v>
      </c>
    </row>
    <row r="324" spans="1:30" x14ac:dyDescent="0.35">
      <c r="A324" s="177" t="s">
        <v>50</v>
      </c>
      <c r="B324" s="100"/>
      <c r="C324" s="27"/>
      <c r="E324" s="148"/>
      <c r="F324" s="237"/>
      <c r="G324" s="172"/>
      <c r="J324" s="185"/>
    </row>
    <row r="325" spans="1:30" x14ac:dyDescent="0.35">
      <c r="A325" s="148" t="s">
        <v>303</v>
      </c>
      <c r="B325" s="237" t="s">
        <v>4</v>
      </c>
      <c r="C325" s="237">
        <v>2.7E-2</v>
      </c>
      <c r="E325" s="177"/>
      <c r="F325" s="100"/>
      <c r="G325" s="28"/>
    </row>
    <row r="326" spans="1:30" x14ac:dyDescent="0.35">
      <c r="A326" s="148"/>
      <c r="B326" s="237"/>
      <c r="C326" s="237">
        <v>0</v>
      </c>
      <c r="E326" s="148"/>
      <c r="F326" s="237"/>
      <c r="G326" s="172"/>
      <c r="I326" s="237"/>
      <c r="J326" s="237"/>
      <c r="K326" s="237"/>
    </row>
    <row r="327" spans="1:30" x14ac:dyDescent="0.35">
      <c r="A327" s="148"/>
      <c r="B327" s="237"/>
      <c r="C327" s="237"/>
      <c r="E327" s="148"/>
      <c r="F327" s="237"/>
      <c r="G327" s="172"/>
    </row>
    <row r="328" spans="1:30" x14ac:dyDescent="0.35">
      <c r="E328" s="148"/>
      <c r="F328" s="237"/>
      <c r="G328" s="172"/>
    </row>
    <row r="329" spans="1:30" x14ac:dyDescent="0.35">
      <c r="A329" s="177"/>
      <c r="B329" s="100"/>
      <c r="C329" s="27"/>
      <c r="E329" s="177"/>
      <c r="F329" s="100"/>
      <c r="G329" s="28"/>
    </row>
    <row r="330" spans="1:30" x14ac:dyDescent="0.35">
      <c r="A330" s="148"/>
      <c r="B330" s="237"/>
      <c r="C330" s="237"/>
      <c r="E330" s="148"/>
      <c r="F330" s="237"/>
      <c r="G330" s="46"/>
    </row>
    <row r="331" spans="1:30" x14ac:dyDescent="0.35">
      <c r="A331" s="148"/>
      <c r="B331" s="237"/>
      <c r="C331" s="237"/>
      <c r="E331" s="148"/>
      <c r="F331" s="237"/>
      <c r="G331" s="46"/>
    </row>
    <row r="332" spans="1:30" x14ac:dyDescent="0.35">
      <c r="A332" s="148"/>
      <c r="B332" s="237"/>
      <c r="C332" s="237"/>
      <c r="E332" s="148"/>
      <c r="F332" s="237"/>
      <c r="G332" s="46"/>
    </row>
    <row r="333" spans="1:30" x14ac:dyDescent="0.35">
      <c r="A333" s="148"/>
      <c r="B333" s="237"/>
      <c r="C333" s="237"/>
      <c r="E333" s="148"/>
      <c r="F333" s="237"/>
      <c r="G333" s="46"/>
    </row>
    <row r="334" spans="1:30" x14ac:dyDescent="0.35">
      <c r="A334" s="148"/>
      <c r="B334" s="237"/>
      <c r="C334" s="237"/>
      <c r="E334" s="148"/>
      <c r="F334" s="237"/>
      <c r="G334" s="46"/>
    </row>
    <row r="335" spans="1:30" x14ac:dyDescent="0.35">
      <c r="A335" s="148"/>
      <c r="B335" s="237"/>
      <c r="C335" s="237"/>
      <c r="E335" s="148"/>
      <c r="F335" s="237"/>
      <c r="G335" s="186"/>
      <c r="AC335" s="175"/>
    </row>
    <row r="336" spans="1:30" x14ac:dyDescent="0.35">
      <c r="A336" s="148"/>
      <c r="B336" s="237"/>
      <c r="C336" s="237"/>
      <c r="E336" s="148"/>
      <c r="F336" s="237"/>
      <c r="G336" s="46"/>
      <c r="AD336" s="187"/>
    </row>
    <row r="337" spans="1:31" ht="15" thickBot="1" x14ac:dyDescent="0.4">
      <c r="A337" s="160"/>
      <c r="B337" s="77"/>
      <c r="C337" s="77"/>
      <c r="E337" s="160"/>
      <c r="F337" s="77"/>
      <c r="G337" s="78"/>
    </row>
    <row r="338" spans="1:31" ht="15" thickBot="1" x14ac:dyDescent="0.4">
      <c r="A338" s="188"/>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row>
    <row r="339" spans="1:31" ht="15" thickBot="1" x14ac:dyDescent="0.4">
      <c r="A339" s="348"/>
      <c r="B339" s="349"/>
      <c r="C339" s="349"/>
      <c r="D339" s="349"/>
      <c r="E339" s="349"/>
      <c r="F339" s="349"/>
      <c r="G339" s="350"/>
    </row>
    <row r="340" spans="1:31" x14ac:dyDescent="0.35">
      <c r="A340" s="178"/>
      <c r="B340" s="159"/>
      <c r="C340" s="114"/>
      <c r="E340" s="189"/>
      <c r="F340" s="159"/>
      <c r="G340" s="159"/>
    </row>
    <row r="341" spans="1:31" x14ac:dyDescent="0.35">
      <c r="A341" s="148"/>
      <c r="B341" s="53"/>
      <c r="C341" s="237"/>
      <c r="E341" s="54"/>
      <c r="F341" s="53"/>
      <c r="G341" s="190"/>
    </row>
    <row r="342" spans="1:31" x14ac:dyDescent="0.35">
      <c r="A342" s="148"/>
      <c r="B342" s="53"/>
      <c r="C342" s="237"/>
      <c r="E342" s="54"/>
      <c r="F342" s="53"/>
      <c r="G342" s="191"/>
    </row>
    <row r="343" spans="1:31" x14ac:dyDescent="0.35">
      <c r="A343" s="148"/>
      <c r="B343" s="53"/>
      <c r="C343" s="237"/>
      <c r="E343" s="54"/>
      <c r="F343" s="53"/>
      <c r="G343" s="191"/>
    </row>
    <row r="344" spans="1:31" x14ac:dyDescent="0.35">
      <c r="A344" s="148"/>
      <c r="B344" s="53"/>
      <c r="C344" s="237"/>
      <c r="E344" s="54"/>
      <c r="F344" s="53"/>
      <c r="G344" s="237"/>
    </row>
    <row r="345" spans="1:31" x14ac:dyDescent="0.35">
      <c r="A345" s="148"/>
      <c r="B345" s="53"/>
      <c r="C345" s="192"/>
      <c r="E345" s="54"/>
      <c r="F345" s="53"/>
      <c r="G345" s="237"/>
    </row>
    <row r="346" spans="1:31" x14ac:dyDescent="0.35">
      <c r="A346" s="148"/>
      <c r="B346" s="53"/>
      <c r="C346" s="237"/>
    </row>
    <row r="347" spans="1:31" x14ac:dyDescent="0.35">
      <c r="A347" s="54"/>
      <c r="B347" s="53"/>
      <c r="C347" s="237"/>
    </row>
    <row r="348" spans="1:31" x14ac:dyDescent="0.35">
      <c r="B348" s="32"/>
    </row>
    <row r="350" spans="1:31" x14ac:dyDescent="0.35">
      <c r="B350"/>
    </row>
    <row r="351" spans="1:31" x14ac:dyDescent="0.35">
      <c r="B351"/>
    </row>
    <row r="352" spans="1:31" x14ac:dyDescent="0.35">
      <c r="B352"/>
    </row>
    <row r="355" spans="1:22" x14ac:dyDescent="0.35">
      <c r="B355"/>
      <c r="D355" s="193"/>
      <c r="E355" s="193"/>
      <c r="F355" s="193"/>
      <c r="G355" s="193"/>
      <c r="H355" s="193"/>
      <c r="I355" s="193"/>
      <c r="J355" s="193"/>
      <c r="K355" s="193"/>
      <c r="L355" s="193"/>
      <c r="M355" s="193"/>
      <c r="N355" s="193"/>
      <c r="O355" s="193"/>
      <c r="P355" s="193"/>
      <c r="Q355" s="193"/>
      <c r="R355" s="193"/>
      <c r="S355" s="193"/>
      <c r="T355" s="193"/>
      <c r="U355" s="193"/>
      <c r="V355" s="193"/>
    </row>
    <row r="356" spans="1:22" x14ac:dyDescent="0.35">
      <c r="A356" s="177" t="s">
        <v>304</v>
      </c>
      <c r="B356" s="100"/>
      <c r="C356" s="27"/>
    </row>
    <row r="357" spans="1:22" x14ac:dyDescent="0.35">
      <c r="A357" s="148" t="s">
        <v>305</v>
      </c>
      <c r="B357" s="237" t="s">
        <v>4</v>
      </c>
      <c r="C357" s="194">
        <v>0.5</v>
      </c>
    </row>
    <row r="358" spans="1:22" x14ac:dyDescent="0.35">
      <c r="A358" s="148" t="s">
        <v>306</v>
      </c>
      <c r="B358" s="237" t="s">
        <v>4</v>
      </c>
      <c r="C358" s="195">
        <v>0.5</v>
      </c>
    </row>
    <row r="359" spans="1:22" x14ac:dyDescent="0.35">
      <c r="B359"/>
    </row>
    <row r="360" spans="1:22" x14ac:dyDescent="0.35">
      <c r="B360"/>
    </row>
    <row r="361" spans="1:22" ht="15" thickBot="1" x14ac:dyDescent="0.4">
      <c r="A361" s="196"/>
      <c r="B361" s="196"/>
      <c r="C361" s="196"/>
      <c r="D361" s="196"/>
      <c r="E361" s="196"/>
      <c r="F361" s="196"/>
      <c r="G361" s="196"/>
      <c r="H361" s="196"/>
    </row>
    <row r="362" spans="1:22" x14ac:dyDescent="0.35">
      <c r="A362" s="197"/>
      <c r="B362" s="198"/>
      <c r="C362" s="199"/>
      <c r="D362" s="200"/>
      <c r="E362" s="200"/>
      <c r="F362" s="200"/>
      <c r="G362" s="200"/>
      <c r="H362" s="200"/>
    </row>
    <row r="363" spans="1:22" x14ac:dyDescent="0.35">
      <c r="A363" s="43"/>
      <c r="B363" s="25"/>
      <c r="C363" s="26"/>
      <c r="F363" s="201"/>
      <c r="G363" s="237"/>
      <c r="H363" s="202"/>
    </row>
    <row r="364" spans="1:22" x14ac:dyDescent="0.35">
      <c r="A364" s="43"/>
      <c r="B364" s="25"/>
      <c r="C364" s="26"/>
    </row>
    <row r="365" spans="1:22" x14ac:dyDescent="0.35">
      <c r="A365" s="43"/>
      <c r="B365" s="25"/>
      <c r="C365" s="26"/>
    </row>
    <row r="366" spans="1:22" x14ac:dyDescent="0.35">
      <c r="A366" s="43"/>
      <c r="B366" s="25"/>
      <c r="C366" s="26"/>
    </row>
    <row r="367" spans="1:22" x14ac:dyDescent="0.35">
      <c r="A367" s="43"/>
      <c r="B367" s="25"/>
      <c r="C367" s="26"/>
    </row>
    <row r="368" spans="1:22" x14ac:dyDescent="0.35">
      <c r="A368" s="43"/>
      <c r="B368" s="25"/>
      <c r="C368" s="26"/>
    </row>
    <row r="369" spans="1:7" x14ac:dyDescent="0.35">
      <c r="A369" s="43"/>
      <c r="B369" s="25"/>
      <c r="C369" s="26"/>
      <c r="D369" s="203"/>
    </row>
    <row r="370" spans="1:7" x14ac:dyDescent="0.35">
      <c r="A370" s="204"/>
      <c r="B370" s="205"/>
      <c r="C370" s="206"/>
      <c r="D370" s="207"/>
    </row>
    <row r="371" spans="1:7" x14ac:dyDescent="0.35">
      <c r="A371" s="43"/>
      <c r="B371" s="25"/>
      <c r="C371" s="26"/>
      <c r="D371" s="208"/>
    </row>
    <row r="372" spans="1:7" x14ac:dyDescent="0.35">
      <c r="A372" s="43"/>
      <c r="B372" s="25"/>
      <c r="C372" s="26"/>
      <c r="F372" s="83"/>
    </row>
    <row r="373" spans="1:7" x14ac:dyDescent="0.35">
      <c r="A373" s="43"/>
      <c r="B373" s="25"/>
      <c r="C373" s="26"/>
      <c r="F373" s="83"/>
    </row>
    <row r="374" spans="1:7" x14ac:dyDescent="0.35">
      <c r="A374" s="43"/>
      <c r="B374" s="25"/>
      <c r="C374" s="26"/>
      <c r="F374" s="83"/>
    </row>
    <row r="375" spans="1:7" x14ac:dyDescent="0.35">
      <c r="A375" s="43"/>
      <c r="B375" s="25"/>
      <c r="C375" s="26"/>
      <c r="F375" s="83"/>
    </row>
    <row r="376" spans="1:7" x14ac:dyDescent="0.35">
      <c r="A376" s="43"/>
      <c r="B376" s="25"/>
      <c r="C376" s="26"/>
      <c r="F376" s="83"/>
    </row>
    <row r="377" spans="1:7" x14ac:dyDescent="0.35">
      <c r="A377" s="43"/>
      <c r="B377" s="25"/>
      <c r="C377" s="26"/>
      <c r="F377" s="83"/>
    </row>
    <row r="378" spans="1:7" x14ac:dyDescent="0.35">
      <c r="A378" s="43"/>
      <c r="B378" s="25"/>
      <c r="C378" s="26"/>
      <c r="G378" s="209"/>
    </row>
    <row r="379" spans="1:7" x14ac:dyDescent="0.35">
      <c r="A379" s="43"/>
      <c r="B379" s="25"/>
      <c r="C379" s="26"/>
      <c r="G379" s="209"/>
    </row>
    <row r="380" spans="1:7" x14ac:dyDescent="0.35">
      <c r="A380" s="43"/>
      <c r="B380" s="25"/>
      <c r="C380" s="26"/>
    </row>
    <row r="381" spans="1:7" x14ac:dyDescent="0.35">
      <c r="A381" s="43"/>
      <c r="B381" s="25"/>
      <c r="C381" s="26"/>
    </row>
    <row r="382" spans="1:7" x14ac:dyDescent="0.35">
      <c r="A382" s="43"/>
      <c r="B382" s="25"/>
      <c r="C382" s="26"/>
    </row>
    <row r="383" spans="1:7" x14ac:dyDescent="0.35">
      <c r="A383" s="43"/>
      <c r="B383" s="25"/>
      <c r="C383" s="26"/>
    </row>
    <row r="384" spans="1:7" x14ac:dyDescent="0.35">
      <c r="A384" s="204"/>
      <c r="B384" s="205"/>
      <c r="C384" s="206"/>
    </row>
    <row r="385" spans="1:3" x14ac:dyDescent="0.35">
      <c r="A385" s="43"/>
      <c r="B385" s="25"/>
      <c r="C385" s="26"/>
    </row>
    <row r="386" spans="1:3" x14ac:dyDescent="0.35">
      <c r="A386" s="43"/>
      <c r="B386" s="25"/>
      <c r="C386" s="26"/>
    </row>
    <row r="387" spans="1:3" x14ac:dyDescent="0.35">
      <c r="A387" s="43"/>
      <c r="B387" s="25"/>
      <c r="C387" s="26"/>
    </row>
    <row r="388" spans="1:3" x14ac:dyDescent="0.35">
      <c r="A388" s="43"/>
      <c r="B388" s="25"/>
      <c r="C388" s="26"/>
    </row>
    <row r="389" spans="1:3" x14ac:dyDescent="0.35">
      <c r="A389" s="43"/>
      <c r="B389" s="25"/>
      <c r="C389" s="26"/>
    </row>
    <row r="390" spans="1:3" x14ac:dyDescent="0.35">
      <c r="A390" s="43"/>
      <c r="B390" s="25"/>
      <c r="C390" s="26"/>
    </row>
    <row r="391" spans="1:3" x14ac:dyDescent="0.35">
      <c r="A391" s="43"/>
      <c r="B391" s="25"/>
      <c r="C391" s="26"/>
    </row>
    <row r="392" spans="1:3" x14ac:dyDescent="0.35">
      <c r="A392" s="43"/>
      <c r="B392" s="25"/>
      <c r="C392" s="26"/>
    </row>
    <row r="393" spans="1:3" x14ac:dyDescent="0.35">
      <c r="A393" s="204"/>
      <c r="B393" s="205"/>
      <c r="C393" s="206"/>
    </row>
    <row r="394" spans="1:3" x14ac:dyDescent="0.35">
      <c r="A394" s="43"/>
      <c r="B394" s="25"/>
      <c r="C394" s="26"/>
    </row>
    <row r="395" spans="1:3" x14ac:dyDescent="0.35">
      <c r="A395" s="43"/>
      <c r="B395" s="25"/>
      <c r="C395" s="26"/>
    </row>
    <row r="396" spans="1:3" x14ac:dyDescent="0.35">
      <c r="A396" s="43"/>
      <c r="B396" s="25"/>
      <c r="C396" s="26"/>
    </row>
    <row r="397" spans="1:3" x14ac:dyDescent="0.35">
      <c r="A397" s="43"/>
      <c r="B397" s="25"/>
      <c r="C397" s="26"/>
    </row>
    <row r="398" spans="1:3" x14ac:dyDescent="0.35">
      <c r="A398" s="43"/>
      <c r="B398" s="25"/>
      <c r="C398" s="26"/>
    </row>
    <row r="399" spans="1:3" x14ac:dyDescent="0.35">
      <c r="A399" s="43"/>
      <c r="B399" s="25"/>
      <c r="C399" s="26"/>
    </row>
    <row r="400" spans="1:3" x14ac:dyDescent="0.35">
      <c r="A400" s="43"/>
      <c r="B400" s="25"/>
      <c r="C400" s="26"/>
    </row>
    <row r="401" spans="1:3" x14ac:dyDescent="0.35">
      <c r="A401" s="43"/>
      <c r="B401" s="25"/>
      <c r="C401" s="26"/>
    </row>
    <row r="402" spans="1:3" x14ac:dyDescent="0.35">
      <c r="A402" s="43"/>
      <c r="B402" s="25"/>
      <c r="C402" s="26"/>
    </row>
    <row r="403" spans="1:3" x14ac:dyDescent="0.35">
      <c r="A403" s="43"/>
      <c r="B403" s="25"/>
      <c r="C403" s="26"/>
    </row>
    <row r="404" spans="1:3" x14ac:dyDescent="0.35">
      <c r="A404" s="43"/>
      <c r="B404" s="25"/>
      <c r="C404" s="26"/>
    </row>
    <row r="405" spans="1:3" x14ac:dyDescent="0.35">
      <c r="A405" s="43"/>
      <c r="B405" s="25"/>
      <c r="C405" s="26"/>
    </row>
    <row r="406" spans="1:3" ht="15" thickBot="1" x14ac:dyDescent="0.4">
      <c r="A406" s="226"/>
      <c r="B406" s="210"/>
      <c r="C406" s="211"/>
    </row>
    <row r="407" spans="1:3" x14ac:dyDescent="0.35">
      <c r="A407" s="43"/>
    </row>
    <row r="408" spans="1:3" x14ac:dyDescent="0.35">
      <c r="A408" s="213"/>
      <c r="B408" s="213"/>
      <c r="C408" s="213"/>
    </row>
    <row r="409" spans="1:3" x14ac:dyDescent="0.35">
      <c r="A409" s="213"/>
      <c r="B409" s="213"/>
      <c r="C409" s="213"/>
    </row>
    <row r="410" spans="1:3" x14ac:dyDescent="0.35">
      <c r="A410" s="213"/>
      <c r="B410" s="213"/>
      <c r="C410" s="213"/>
    </row>
    <row r="411" spans="1:3" ht="15" thickBot="1" x14ac:dyDescent="0.4">
      <c r="A411" s="214"/>
      <c r="B411" s="214"/>
      <c r="C411" s="214"/>
    </row>
    <row r="412" spans="1:3" x14ac:dyDescent="0.35">
      <c r="A412" s="197"/>
      <c r="B412" s="198"/>
      <c r="C412" s="199"/>
    </row>
    <row r="413" spans="1:3" x14ac:dyDescent="0.35">
      <c r="A413" s="215"/>
      <c r="B413" s="216"/>
      <c r="C413" s="217"/>
    </row>
    <row r="414" spans="1:3" x14ac:dyDescent="0.35">
      <c r="A414" s="43"/>
      <c r="B414" s="25"/>
      <c r="C414" s="26"/>
    </row>
    <row r="415" spans="1:3" x14ac:dyDescent="0.35">
      <c r="A415" s="43"/>
      <c r="B415" s="25"/>
      <c r="C415" s="26"/>
    </row>
    <row r="416" spans="1:3" x14ac:dyDescent="0.35">
      <c r="A416" s="43"/>
      <c r="B416" s="25"/>
      <c r="C416" s="26"/>
    </row>
    <row r="417" spans="1:3" x14ac:dyDescent="0.35">
      <c r="A417" s="43"/>
      <c r="B417" s="25"/>
      <c r="C417" s="26"/>
    </row>
    <row r="418" spans="1:3" x14ac:dyDescent="0.35">
      <c r="A418" s="43"/>
      <c r="B418" s="25"/>
      <c r="C418" s="26"/>
    </row>
    <row r="419" spans="1:3" x14ac:dyDescent="0.35">
      <c r="A419" s="43"/>
      <c r="B419" s="25"/>
      <c r="C419" s="26"/>
    </row>
    <row r="420" spans="1:3" x14ac:dyDescent="0.35">
      <c r="A420" s="204"/>
      <c r="B420" s="205"/>
      <c r="C420" s="206"/>
    </row>
    <row r="421" spans="1:3" x14ac:dyDescent="0.35">
      <c r="A421" s="43"/>
      <c r="B421" s="25"/>
      <c r="C421" s="26"/>
    </row>
    <row r="422" spans="1:3" x14ac:dyDescent="0.35">
      <c r="A422" s="43"/>
      <c r="B422" s="25"/>
      <c r="C422" s="26"/>
    </row>
    <row r="423" spans="1:3" x14ac:dyDescent="0.35">
      <c r="A423" s="43"/>
      <c r="B423" s="25"/>
      <c r="C423" s="26"/>
    </row>
    <row r="424" spans="1:3" x14ac:dyDescent="0.35">
      <c r="A424" s="43"/>
      <c r="B424" s="25"/>
      <c r="C424" s="26"/>
    </row>
    <row r="425" spans="1:3" x14ac:dyDescent="0.35">
      <c r="A425" s="43"/>
      <c r="B425" s="25"/>
      <c r="C425" s="26"/>
    </row>
    <row r="426" spans="1:3" x14ac:dyDescent="0.35">
      <c r="A426" s="43"/>
      <c r="B426" s="25"/>
      <c r="C426" s="26"/>
    </row>
    <row r="427" spans="1:3" x14ac:dyDescent="0.35">
      <c r="A427" s="43"/>
      <c r="B427" s="25"/>
      <c r="C427" s="26"/>
    </row>
    <row r="428" spans="1:3" x14ac:dyDescent="0.35">
      <c r="A428" s="43"/>
      <c r="B428" s="25"/>
      <c r="C428" s="26"/>
    </row>
    <row r="429" spans="1:3" x14ac:dyDescent="0.35">
      <c r="A429" s="43"/>
      <c r="B429" s="25"/>
      <c r="C429" s="26"/>
    </row>
    <row r="430" spans="1:3" x14ac:dyDescent="0.35">
      <c r="A430" s="43"/>
      <c r="B430" s="25"/>
      <c r="C430" s="26"/>
    </row>
    <row r="431" spans="1:3" x14ac:dyDescent="0.35">
      <c r="A431" s="43"/>
      <c r="B431" s="25"/>
      <c r="C431" s="26"/>
    </row>
    <row r="432" spans="1:3" x14ac:dyDescent="0.35">
      <c r="A432" s="43"/>
      <c r="B432" s="25"/>
      <c r="C432" s="26"/>
    </row>
    <row r="433" spans="1:3" x14ac:dyDescent="0.35">
      <c r="A433" s="43"/>
      <c r="B433" s="25"/>
      <c r="C433" s="26"/>
    </row>
    <row r="434" spans="1:3" ht="15" thickBot="1" x14ac:dyDescent="0.4">
      <c r="A434" s="226"/>
      <c r="B434" s="210"/>
      <c r="C434" s="211"/>
    </row>
    <row r="435" spans="1:3" x14ac:dyDescent="0.35">
      <c r="A435" s="212"/>
      <c r="B435" s="212"/>
      <c r="C435" s="212"/>
    </row>
    <row r="436" spans="1:3" ht="15" thickBot="1" x14ac:dyDescent="0.4">
      <c r="A436" s="214"/>
      <c r="B436" s="214"/>
      <c r="C436" s="214"/>
    </row>
    <row r="437" spans="1:3" x14ac:dyDescent="0.35">
      <c r="A437" s="197"/>
      <c r="B437" s="198"/>
      <c r="C437" s="199"/>
    </row>
    <row r="438" spans="1:3" x14ac:dyDescent="0.35">
      <c r="A438" s="43"/>
      <c r="B438" s="25"/>
      <c r="C438" s="26"/>
    </row>
    <row r="439" spans="1:3" x14ac:dyDescent="0.35">
      <c r="A439" s="204"/>
      <c r="B439" s="205"/>
      <c r="C439" s="206"/>
    </row>
    <row r="440" spans="1:3" ht="15" thickBot="1" x14ac:dyDescent="0.4">
      <c r="A440" s="226"/>
      <c r="B440" s="210"/>
      <c r="C440" s="211"/>
    </row>
    <row r="441" spans="1:3" x14ac:dyDescent="0.35">
      <c r="B441"/>
    </row>
    <row r="442" spans="1:3" x14ac:dyDescent="0.35">
      <c r="B442"/>
    </row>
    <row r="443" spans="1:3" ht="15" thickBot="1" x14ac:dyDescent="0.4">
      <c r="B443"/>
    </row>
    <row r="444" spans="1:3" x14ac:dyDescent="0.35">
      <c r="A444" s="218"/>
      <c r="B444" s="219"/>
      <c r="C444" s="220"/>
    </row>
    <row r="445" spans="1:3" x14ac:dyDescent="0.35">
      <c r="A445" s="204"/>
      <c r="B445" s="205"/>
      <c r="C445" s="206"/>
    </row>
    <row r="446" spans="1:3" x14ac:dyDescent="0.35">
      <c r="A446" s="43"/>
      <c r="B446" s="25"/>
      <c r="C446" s="26"/>
    </row>
    <row r="447" spans="1:3" x14ac:dyDescent="0.35">
      <c r="A447" s="43"/>
      <c r="B447" s="25"/>
      <c r="C447" s="26"/>
    </row>
    <row r="448" spans="1:3" x14ac:dyDescent="0.35">
      <c r="A448" s="43"/>
      <c r="B448" s="25"/>
      <c r="C448" s="26"/>
    </row>
    <row r="449" spans="1:4" x14ac:dyDescent="0.35">
      <c r="A449" s="43"/>
      <c r="B449" s="25"/>
      <c r="C449" s="26"/>
    </row>
    <row r="450" spans="1:4" x14ac:dyDescent="0.35">
      <c r="A450" s="43"/>
      <c r="B450" s="25"/>
      <c r="C450" s="26"/>
    </row>
    <row r="451" spans="1:4" x14ac:dyDescent="0.35">
      <c r="A451" s="43"/>
      <c r="B451" s="25"/>
      <c r="C451" s="26"/>
      <c r="D451" s="43"/>
    </row>
    <row r="452" spans="1:4" x14ac:dyDescent="0.35">
      <c r="A452" s="204"/>
      <c r="B452" s="205"/>
      <c r="C452" s="206"/>
    </row>
    <row r="453" spans="1:4" x14ac:dyDescent="0.35">
      <c r="A453" s="43"/>
      <c r="B453" s="25"/>
      <c r="C453" s="26"/>
    </row>
    <row r="454" spans="1:4" x14ac:dyDescent="0.35">
      <c r="A454" s="43"/>
      <c r="B454" s="25"/>
      <c r="C454" s="26"/>
    </row>
    <row r="455" spans="1:4" x14ac:dyDescent="0.35">
      <c r="A455" s="43"/>
      <c r="B455" s="25"/>
      <c r="C455" s="26"/>
    </row>
    <row r="456" spans="1:4" x14ac:dyDescent="0.35">
      <c r="A456" s="43"/>
      <c r="B456" s="25"/>
      <c r="C456" s="26"/>
    </row>
    <row r="457" spans="1:4" x14ac:dyDescent="0.35">
      <c r="A457" s="43"/>
      <c r="B457" s="25"/>
      <c r="C457" s="26"/>
    </row>
    <row r="458" spans="1:4" x14ac:dyDescent="0.35">
      <c r="A458" s="43"/>
      <c r="B458" s="25"/>
      <c r="C458" s="26"/>
    </row>
    <row r="459" spans="1:4" x14ac:dyDescent="0.35">
      <c r="A459" s="43"/>
      <c r="B459" s="25"/>
      <c r="C459" s="26"/>
    </row>
    <row r="460" spans="1:4" x14ac:dyDescent="0.35">
      <c r="A460" s="43"/>
      <c r="B460" s="25"/>
      <c r="C460" s="26"/>
    </row>
    <row r="461" spans="1:4" x14ac:dyDescent="0.35">
      <c r="A461" s="43"/>
      <c r="B461" s="25"/>
      <c r="C461" s="26"/>
    </row>
    <row r="462" spans="1:4" x14ac:dyDescent="0.35">
      <c r="A462" s="43"/>
      <c r="B462" s="25"/>
      <c r="C462" s="26"/>
    </row>
    <row r="463" spans="1:4" x14ac:dyDescent="0.35">
      <c r="A463" s="43"/>
      <c r="B463" s="25"/>
      <c r="C463" s="26"/>
    </row>
    <row r="464" spans="1:4" x14ac:dyDescent="0.35">
      <c r="A464" s="43"/>
      <c r="B464" s="25"/>
      <c r="C464" s="26"/>
    </row>
    <row r="465" spans="1:27" x14ac:dyDescent="0.35">
      <c r="A465" s="43"/>
      <c r="B465" s="25"/>
      <c r="C465" s="26"/>
    </row>
    <row r="466" spans="1:27" x14ac:dyDescent="0.35">
      <c r="A466" s="204" t="s">
        <v>665</v>
      </c>
      <c r="B466" s="205"/>
      <c r="C466" s="206"/>
    </row>
    <row r="467" spans="1:27" x14ac:dyDescent="0.35">
      <c r="A467" s="43" t="s">
        <v>666</v>
      </c>
      <c r="B467" s="25">
        <v>1</v>
      </c>
      <c r="C467" s="26" t="s">
        <v>4</v>
      </c>
    </row>
    <row r="468" spans="1:27" x14ac:dyDescent="0.35">
      <c r="A468" s="43" t="s">
        <v>667</v>
      </c>
      <c r="B468" s="25">
        <v>1.5242946708463949</v>
      </c>
      <c r="C468" s="26" t="s">
        <v>4</v>
      </c>
    </row>
    <row r="469" spans="1:27" x14ac:dyDescent="0.35">
      <c r="A469" s="43" t="s">
        <v>668</v>
      </c>
      <c r="B469" s="25">
        <v>0.10223304298097888</v>
      </c>
      <c r="C469" s="26" t="s">
        <v>4</v>
      </c>
    </row>
    <row r="470" spans="1:27" x14ac:dyDescent="0.35">
      <c r="A470" s="43" t="s">
        <v>669</v>
      </c>
      <c r="B470" s="25">
        <v>0.83820582849237535</v>
      </c>
      <c r="C470" s="26" t="s">
        <v>4</v>
      </c>
    </row>
    <row r="471" spans="1:27" x14ac:dyDescent="0.35">
      <c r="A471" s="43" t="s">
        <v>670</v>
      </c>
      <c r="B471" s="25">
        <v>9.8017241379310338</v>
      </c>
      <c r="C471" s="26" t="s">
        <v>4</v>
      </c>
    </row>
    <row r="472" spans="1:27" x14ac:dyDescent="0.35">
      <c r="A472" s="43" t="s">
        <v>671</v>
      </c>
      <c r="B472" s="25">
        <v>0.65739263165198081</v>
      </c>
      <c r="C472" s="26" t="s">
        <v>4</v>
      </c>
    </row>
    <row r="473" spans="1:27" ht="15" thickBot="1" x14ac:dyDescent="0.4">
      <c r="A473" s="226" t="s">
        <v>672</v>
      </c>
      <c r="B473" s="210">
        <v>7.8E-2</v>
      </c>
      <c r="C473" s="211" t="s">
        <v>4</v>
      </c>
      <c r="D473" s="43" t="s">
        <v>673</v>
      </c>
      <c r="E473">
        <v>0.03</v>
      </c>
      <c r="F473" t="s">
        <v>4</v>
      </c>
    </row>
    <row r="477" spans="1:27" x14ac:dyDescent="0.35">
      <c r="B477" s="351" t="s">
        <v>371</v>
      </c>
      <c r="C477" s="352"/>
      <c r="D477" s="352"/>
      <c r="E477" s="352"/>
      <c r="F477" s="353"/>
      <c r="G477" s="351" t="s">
        <v>370</v>
      </c>
      <c r="H477" s="352"/>
      <c r="I477" s="352"/>
      <c r="J477" s="352"/>
      <c r="K477" s="353"/>
      <c r="L477" s="354" t="s">
        <v>369</v>
      </c>
      <c r="M477" s="355"/>
      <c r="N477" s="355"/>
      <c r="O477" s="355"/>
      <c r="P477" s="356"/>
      <c r="Q477" s="354" t="s">
        <v>368</v>
      </c>
      <c r="R477" s="355"/>
      <c r="S477" s="355"/>
      <c r="T477" s="355"/>
      <c r="U477" s="356"/>
      <c r="V477" s="335" t="s">
        <v>367</v>
      </c>
      <c r="W477" s="335"/>
      <c r="X477" s="335"/>
      <c r="Y477" s="335"/>
      <c r="Z477" s="335"/>
      <c r="AA477" s="336" t="s">
        <v>366</v>
      </c>
    </row>
    <row r="478" spans="1:27" x14ac:dyDescent="0.35">
      <c r="B478" s="202" t="s">
        <v>365</v>
      </c>
      <c r="C478" s="202" t="s">
        <v>364</v>
      </c>
      <c r="D478" s="202" t="s">
        <v>363</v>
      </c>
      <c r="E478" s="202" t="s">
        <v>362</v>
      </c>
      <c r="F478" s="202" t="s">
        <v>361</v>
      </c>
      <c r="G478" s="202" t="s">
        <v>365</v>
      </c>
      <c r="H478" s="202" t="s">
        <v>364</v>
      </c>
      <c r="I478" s="202" t="s">
        <v>363</v>
      </c>
      <c r="J478" s="202" t="s">
        <v>362</v>
      </c>
      <c r="K478" s="202" t="s">
        <v>361</v>
      </c>
      <c r="L478" s="202" t="s">
        <v>365</v>
      </c>
      <c r="M478" s="202" t="s">
        <v>364</v>
      </c>
      <c r="N478" s="202" t="s">
        <v>363</v>
      </c>
      <c r="O478" s="202" t="s">
        <v>362</v>
      </c>
      <c r="P478" s="202" t="s">
        <v>361</v>
      </c>
      <c r="Q478" s="202" t="s">
        <v>365</v>
      </c>
      <c r="R478" s="202" t="s">
        <v>364</v>
      </c>
      <c r="S478" s="202" t="s">
        <v>363</v>
      </c>
      <c r="T478" s="202" t="s">
        <v>362</v>
      </c>
      <c r="U478" s="202" t="s">
        <v>361</v>
      </c>
      <c r="V478" s="202" t="s">
        <v>365</v>
      </c>
      <c r="W478" s="202" t="s">
        <v>364</v>
      </c>
      <c r="X478" s="202" t="s">
        <v>363</v>
      </c>
      <c r="Y478" s="202" t="s">
        <v>362</v>
      </c>
      <c r="Z478" s="202" t="s">
        <v>361</v>
      </c>
      <c r="AA478" s="337"/>
    </row>
    <row r="479" spans="1:27" x14ac:dyDescent="0.35">
      <c r="A479" s="238" t="s">
        <v>360</v>
      </c>
      <c r="B479" s="237">
        <v>-5.9433079999999996E-3</v>
      </c>
      <c r="C479" s="237">
        <v>-0.120112116</v>
      </c>
      <c r="D479" s="237">
        <v>-1.7022335E-2</v>
      </c>
      <c r="E479" s="237">
        <v>6.4919289999999996E-3</v>
      </c>
      <c r="F479" s="237">
        <v>-4.1994467000000001E-2</v>
      </c>
      <c r="G479" s="191">
        <v>0.6287197169177513</v>
      </c>
      <c r="H479" s="191">
        <v>6.3072011870779751E-2</v>
      </c>
      <c r="I479" s="191">
        <v>2.8766896473028623</v>
      </c>
      <c r="J479" s="191">
        <v>0.28312899573704253</v>
      </c>
      <c r="K479" s="191">
        <v>0.37787484702445184</v>
      </c>
      <c r="L479" s="237">
        <v>3.3662460323300086E-2</v>
      </c>
      <c r="M479" s="237">
        <v>0.11383448929377711</v>
      </c>
      <c r="N479" s="237">
        <v>8.7050401128642169E-3</v>
      </c>
      <c r="O479" s="237">
        <v>0.11905533658916212</v>
      </c>
      <c r="P479" s="237">
        <v>8.1876308622138419E-2</v>
      </c>
      <c r="Q479" s="237">
        <v>1.3852274788814439E-2</v>
      </c>
      <c r="R479" s="237">
        <v>1.3852274788814439E-2</v>
      </c>
      <c r="S479" s="237">
        <v>1.3852274788814439E-2</v>
      </c>
      <c r="T479" s="237">
        <v>1.3852274788814439E-2</v>
      </c>
      <c r="U479" s="237">
        <v>1.3852274788814439E-2</v>
      </c>
      <c r="V479" s="237">
        <v>0</v>
      </c>
      <c r="W479" s="237">
        <v>0</v>
      </c>
      <c r="X479" s="237">
        <v>0</v>
      </c>
      <c r="Y479" s="237">
        <v>0</v>
      </c>
      <c r="Z479" s="237">
        <v>0</v>
      </c>
      <c r="AA479" s="237">
        <v>3.8699523223524217</v>
      </c>
    </row>
    <row r="480" spans="1:27" x14ac:dyDescent="0.35">
      <c r="A480" s="238" t="s">
        <v>359</v>
      </c>
      <c r="B480" s="237">
        <v>-1.2924425E-2</v>
      </c>
      <c r="C480" s="237">
        <v>-4.5182458000000002E-2</v>
      </c>
      <c r="D480" s="237">
        <v>-1.0345526000000001E-2</v>
      </c>
      <c r="E480" s="237">
        <v>-4.6851369999999998E-3</v>
      </c>
      <c r="F480" s="237">
        <v>1.2535058E-2</v>
      </c>
      <c r="G480" s="191">
        <v>1.4377547101284724</v>
      </c>
      <c r="H480" s="191">
        <v>0.31331686569242123</v>
      </c>
      <c r="I480" s="191">
        <v>1.243794594549829</v>
      </c>
      <c r="J480" s="191">
        <v>4.8220471051869458</v>
      </c>
      <c r="K480" s="191">
        <v>0.98238924919199189</v>
      </c>
      <c r="L480" s="237">
        <v>3.9259497409116925E-2</v>
      </c>
      <c r="M480" s="237">
        <v>0.11190169964975855</v>
      </c>
      <c r="N480" s="237">
        <v>4.4814956966039335E-2</v>
      </c>
      <c r="O480" s="237">
        <v>2.9861056103459276E-2</v>
      </c>
      <c r="P480" s="237">
        <v>0.122384914719606</v>
      </c>
      <c r="Q480" s="237">
        <v>6.096880764840177E-2</v>
      </c>
      <c r="R480" s="237">
        <v>6.096880764840177E-2</v>
      </c>
      <c r="S480" s="237">
        <v>6.096880764840177E-2</v>
      </c>
      <c r="T480" s="237">
        <v>6.096880764840177E-2</v>
      </c>
      <c r="U480" s="237">
        <v>6.096880764840177E-2</v>
      </c>
      <c r="V480" s="237">
        <v>0</v>
      </c>
      <c r="W480" s="237">
        <v>0</v>
      </c>
      <c r="X480" s="237">
        <v>0</v>
      </c>
      <c r="Y480" s="237">
        <v>0</v>
      </c>
      <c r="Z480" s="237">
        <v>0</v>
      </c>
      <c r="AA480" s="237">
        <v>8.5904879432841597</v>
      </c>
    </row>
    <row r="481" spans="1:27" x14ac:dyDescent="0.35">
      <c r="A481" s="238" t="s">
        <v>358</v>
      </c>
      <c r="B481" s="237">
        <v>4.0053659999999998E-3</v>
      </c>
      <c r="C481" s="237">
        <v>-3.1386279000000003E-2</v>
      </c>
      <c r="D481" s="237">
        <v>-1.1802470000000001E-2</v>
      </c>
      <c r="E481" s="237">
        <v>7.880616E-3</v>
      </c>
      <c r="F481" s="237">
        <v>-6.7834369999999998E-3</v>
      </c>
      <c r="G481" s="191">
        <v>0.42113855610917716</v>
      </c>
      <c r="H481" s="191">
        <v>0.11552633351364591</v>
      </c>
      <c r="I481" s="191">
        <v>0.4624651436890585</v>
      </c>
      <c r="J481" s="191">
        <v>0.32192202882420695</v>
      </c>
      <c r="K481" s="191">
        <v>0.9319479467345817</v>
      </c>
      <c r="L481" s="237">
        <v>2.364143378829147E-2</v>
      </c>
      <c r="M481" s="237">
        <v>7.0394387597839364E-2</v>
      </c>
      <c r="N481" s="237">
        <v>4.6505839059162828E-2</v>
      </c>
      <c r="O481" s="237">
        <v>0.15732293602175801</v>
      </c>
      <c r="P481" s="237">
        <v>3.0479958255108304E-2</v>
      </c>
      <c r="Q481" s="237">
        <v>1.9216472018669023E-2</v>
      </c>
      <c r="R481" s="237">
        <v>1.9216472018669023E-2</v>
      </c>
      <c r="S481" s="237">
        <v>1.9216472018669023E-2</v>
      </c>
      <c r="T481" s="237">
        <v>1.9216472018669023E-2</v>
      </c>
      <c r="U481" s="237">
        <v>1.9216472018669023E-2</v>
      </c>
      <c r="V481" s="237">
        <v>0</v>
      </c>
      <c r="W481" s="237">
        <v>0</v>
      </c>
      <c r="X481" s="237">
        <v>0</v>
      </c>
      <c r="Y481" s="237">
        <v>0</v>
      </c>
      <c r="Z481" s="237">
        <v>0</v>
      </c>
      <c r="AA481" s="237">
        <v>2.2730697032750133</v>
      </c>
    </row>
    <row r="482" spans="1:27" x14ac:dyDescent="0.35">
      <c r="A482" s="238" t="s">
        <v>357</v>
      </c>
      <c r="B482" s="237">
        <v>-9.9266200000000006E-3</v>
      </c>
      <c r="C482" s="237">
        <v>-1.9495614000000001E-2</v>
      </c>
      <c r="D482" s="237">
        <v>-4.5410474999999999E-2</v>
      </c>
      <c r="E482" s="237">
        <v>-1.3090375E-2</v>
      </c>
      <c r="F482" s="237">
        <v>-6.1949681999999999E-2</v>
      </c>
      <c r="G482" s="191">
        <v>0.77778889647110694</v>
      </c>
      <c r="H482" s="191">
        <v>0.20538678486804926</v>
      </c>
      <c r="I482" s="191">
        <v>0.57723136199643765</v>
      </c>
      <c r="J482" s="191">
        <v>0.27033511892998141</v>
      </c>
      <c r="K482" s="191">
        <v>0.58017067273397094</v>
      </c>
      <c r="L482" s="237">
        <v>3.6009291101631966E-2</v>
      </c>
      <c r="M482" s="237">
        <v>8.7821707568757054E-2</v>
      </c>
      <c r="N482" s="237">
        <v>6.6308900704062854E-2</v>
      </c>
      <c r="O482" s="237">
        <v>0.2305961052854629</v>
      </c>
      <c r="P482" s="237">
        <v>7.2407798605460413E-2</v>
      </c>
      <c r="Q482" s="237">
        <v>3.0091156965667037E-2</v>
      </c>
      <c r="R482" s="237">
        <v>3.0091156965667037E-2</v>
      </c>
      <c r="S482" s="237">
        <v>3.0091156965667037E-2</v>
      </c>
      <c r="T482" s="237">
        <v>3.0091156965667037E-2</v>
      </c>
      <c r="U482" s="237">
        <v>3.0091156965667037E-2</v>
      </c>
      <c r="V482" s="237">
        <v>0</v>
      </c>
      <c r="W482" s="237">
        <v>0</v>
      </c>
      <c r="X482" s="237">
        <v>0</v>
      </c>
      <c r="Y482" s="237">
        <v>0</v>
      </c>
      <c r="Z482" s="237">
        <v>0</v>
      </c>
      <c r="AA482" s="237">
        <v>2.0108685029854461</v>
      </c>
    </row>
    <row r="483" spans="1:27" x14ac:dyDescent="0.35">
      <c r="A483" s="238" t="s">
        <v>356</v>
      </c>
      <c r="B483" s="237">
        <v>-2.0235976999999999E-2</v>
      </c>
      <c r="C483" s="237">
        <v>-4.9795461999999999E-2</v>
      </c>
      <c r="D483" s="237">
        <v>-3.1628120000000003E-2</v>
      </c>
      <c r="E483" s="237">
        <v>-2.3673988E-2</v>
      </c>
      <c r="F483" s="237">
        <v>-4.5770929000000002E-2</v>
      </c>
      <c r="G483" s="191">
        <v>0.32595095501665117</v>
      </c>
      <c r="H483" s="191">
        <v>8.5483714865884436E-2</v>
      </c>
      <c r="I483" s="191">
        <v>0.4456619609063785</v>
      </c>
      <c r="J483" s="191">
        <v>0.11008525329131127</v>
      </c>
      <c r="K483" s="191">
        <v>0.26632248651857132</v>
      </c>
      <c r="L483" s="237">
        <v>3.0464566745519422E-2</v>
      </c>
      <c r="M483" s="237">
        <v>6.2349290874459319E-2</v>
      </c>
      <c r="N483" s="237">
        <v>3.2902928527819175E-2</v>
      </c>
      <c r="O483" s="237">
        <v>0.23632582489417059</v>
      </c>
      <c r="P483" s="237">
        <v>5.6016092541756671E-2</v>
      </c>
      <c r="Q483" s="237">
        <v>3.5162387451564303E-2</v>
      </c>
      <c r="R483" s="237">
        <v>3.5162387451564303E-2</v>
      </c>
      <c r="S483" s="237">
        <v>3.5162387451564303E-2</v>
      </c>
      <c r="T483" s="237">
        <v>3.5162387451564303E-2</v>
      </c>
      <c r="U483" s="237">
        <v>3.5162387451564303E-2</v>
      </c>
      <c r="V483" s="237">
        <v>0</v>
      </c>
      <c r="W483" s="237">
        <v>0</v>
      </c>
      <c r="X483" s="237">
        <v>0</v>
      </c>
      <c r="Y483" s="237">
        <v>0</v>
      </c>
      <c r="Z483" s="237">
        <v>0</v>
      </c>
      <c r="AA483" s="237">
        <v>0.93840274852373351</v>
      </c>
    </row>
    <row r="484" spans="1:27" x14ac:dyDescent="0.35">
      <c r="A484" s="238" t="s">
        <v>355</v>
      </c>
      <c r="B484" s="237">
        <v>-1.7762536999999998E-2</v>
      </c>
      <c r="C484" s="237">
        <v>-0.12490596900000001</v>
      </c>
      <c r="D484" s="237">
        <v>-2.8231255E-2</v>
      </c>
      <c r="E484" s="237">
        <v>1.183321E-2</v>
      </c>
      <c r="F484" s="237">
        <v>-7.3386939999999998E-3</v>
      </c>
      <c r="G484" s="191">
        <v>0.68289092259367468</v>
      </c>
      <c r="H484" s="191">
        <v>0.16268003128165623</v>
      </c>
      <c r="I484" s="191">
        <v>0.62884688417297896</v>
      </c>
      <c r="J484" s="191">
        <v>0.24614252504824943</v>
      </c>
      <c r="K484" s="191">
        <v>1.4882085700158616</v>
      </c>
      <c r="L484" s="237">
        <v>2.7443556232163598E-2</v>
      </c>
      <c r="M484" s="237">
        <v>0.18909529409219897</v>
      </c>
      <c r="N484" s="237">
        <v>6.1101949749471134E-2</v>
      </c>
      <c r="O484" s="237">
        <v>0.204257638616063</v>
      </c>
      <c r="P484" s="237">
        <v>6.7519516814096472E-2</v>
      </c>
      <c r="Q484" s="237">
        <v>3.9492773961190837E-2</v>
      </c>
      <c r="R484" s="237">
        <v>3.9492773961190837E-2</v>
      </c>
      <c r="S484" s="237">
        <v>3.9492773961190837E-2</v>
      </c>
      <c r="T484" s="237">
        <v>3.9492773961190837E-2</v>
      </c>
      <c r="U484" s="237">
        <v>3.9492773961190837E-2</v>
      </c>
      <c r="V484" s="237">
        <v>0</v>
      </c>
      <c r="W484" s="237">
        <v>0</v>
      </c>
      <c r="X484" s="237">
        <v>0</v>
      </c>
      <c r="Y484" s="237">
        <v>0</v>
      </c>
      <c r="Z484" s="237">
        <v>0</v>
      </c>
      <c r="AA484" s="237">
        <v>3.0798605681705</v>
      </c>
    </row>
    <row r="485" spans="1:27" x14ac:dyDescent="0.35">
      <c r="A485" s="238" t="s">
        <v>354</v>
      </c>
      <c r="B485" s="237">
        <v>-9.5034100000000003E-3</v>
      </c>
      <c r="C485" s="237">
        <v>5.3137645999999997E-2</v>
      </c>
      <c r="D485" s="237">
        <v>-4.0450020000000003E-2</v>
      </c>
      <c r="E485" s="237">
        <v>-1.2061451000000001E-2</v>
      </c>
      <c r="F485" s="237">
        <v>7.4948189999999998E-3</v>
      </c>
      <c r="G485" s="191">
        <v>1.1766825924595492</v>
      </c>
      <c r="H485" s="191">
        <v>0.27714368209914342</v>
      </c>
      <c r="I485" s="191">
        <v>0.59413476932761067</v>
      </c>
      <c r="J485" s="191">
        <v>0.46497936329519063</v>
      </c>
      <c r="K485" s="191">
        <v>1.7029419945596787</v>
      </c>
      <c r="L485" s="237">
        <v>4.1639376219726229E-2</v>
      </c>
      <c r="M485" s="237">
        <v>0.23043852745032589</v>
      </c>
      <c r="N485" s="237">
        <v>8.6950367496048078E-2</v>
      </c>
      <c r="O485" s="237">
        <v>0.11350135711851324</v>
      </c>
      <c r="P485" s="237">
        <v>7.3714268459896329E-2</v>
      </c>
      <c r="Q485" s="237">
        <v>3.4312075224790482E-2</v>
      </c>
      <c r="R485" s="237">
        <v>3.4312075224790482E-2</v>
      </c>
      <c r="S485" s="237">
        <v>3.4312075224790482E-2</v>
      </c>
      <c r="T485" s="237">
        <v>3.4312075224790482E-2</v>
      </c>
      <c r="U485" s="237">
        <v>3.4312075224790482E-2</v>
      </c>
      <c r="V485" s="237">
        <v>0</v>
      </c>
      <c r="W485" s="237">
        <v>0</v>
      </c>
      <c r="X485" s="237">
        <v>0</v>
      </c>
      <c r="Y485" s="237">
        <v>0</v>
      </c>
      <c r="Z485" s="237">
        <v>0</v>
      </c>
      <c r="AA485" s="237">
        <v>3.8821686330954761</v>
      </c>
    </row>
    <row r="486" spans="1:27" x14ac:dyDescent="0.35">
      <c r="A486" s="238" t="s">
        <v>353</v>
      </c>
      <c r="B486" s="237">
        <v>-1.8866045000000001E-2</v>
      </c>
      <c r="C486" s="237">
        <v>-1.8472623000000001E-2</v>
      </c>
      <c r="D486" s="237">
        <v>-3.1884270999999999E-2</v>
      </c>
      <c r="E486" s="237">
        <v>-2.8408180000000002E-2</v>
      </c>
      <c r="F486" s="237">
        <v>-2.959489E-3</v>
      </c>
      <c r="G486" s="191">
        <v>0.79480334871660729</v>
      </c>
      <c r="H486" s="191">
        <v>0.79102533032400713</v>
      </c>
      <c r="I486" s="191">
        <v>9.2831294824086097</v>
      </c>
      <c r="J486" s="191">
        <v>2.3657057558749415</v>
      </c>
      <c r="K486" s="191">
        <v>0.51402425243557848</v>
      </c>
      <c r="L486" s="237">
        <v>4.7876481162588053E-2</v>
      </c>
      <c r="M486" s="237">
        <v>0.10444128093825139</v>
      </c>
      <c r="N486" s="237">
        <v>1.3941876509135224E-2</v>
      </c>
      <c r="O486" s="237">
        <v>2.872147503154393E-2</v>
      </c>
      <c r="P486" s="237">
        <v>0.10624424685656314</v>
      </c>
      <c r="Q486" s="237">
        <v>6.1993434503626009E-2</v>
      </c>
      <c r="R486" s="237">
        <v>6.1993434503626009E-2</v>
      </c>
      <c r="S486" s="237">
        <v>6.1993434503626009E-2</v>
      </c>
      <c r="T486" s="237">
        <v>6.1993434503626009E-2</v>
      </c>
      <c r="U486" s="237">
        <v>6.1993434503626009E-2</v>
      </c>
      <c r="V486" s="237">
        <v>0</v>
      </c>
      <c r="W486" s="237">
        <v>0</v>
      </c>
      <c r="X486" s="237">
        <v>0</v>
      </c>
      <c r="Y486" s="237">
        <v>0</v>
      </c>
      <c r="Z486" s="237">
        <v>0</v>
      </c>
      <c r="AA486" s="237">
        <v>11.239221350242309</v>
      </c>
    </row>
    <row r="487" spans="1:27" x14ac:dyDescent="0.35">
      <c r="A487" s="238" t="s">
        <v>352</v>
      </c>
      <c r="B487" s="237">
        <v>-1.2819683E-2</v>
      </c>
      <c r="C487" s="237">
        <v>-2.2547646000000001E-2</v>
      </c>
      <c r="D487" s="237">
        <v>-2.2643264999999999E-2</v>
      </c>
      <c r="E487" s="237">
        <v>-1.543831E-2</v>
      </c>
      <c r="F487" s="237">
        <v>-4.8633729000000001E-2</v>
      </c>
      <c r="G487" s="191">
        <v>1.6666473381010591</v>
      </c>
      <c r="H487" s="191">
        <v>0.73537499267148532</v>
      </c>
      <c r="I487" s="191">
        <v>1.4173573214290192</v>
      </c>
      <c r="J487" s="191">
        <v>1.4343100769756831</v>
      </c>
      <c r="K487" s="191">
        <v>0.8983008834549645</v>
      </c>
      <c r="L487" s="237">
        <v>4.2070055087644179E-2</v>
      </c>
      <c r="M487" s="237">
        <v>5.8456047899211293E-2</v>
      </c>
      <c r="N487" s="237">
        <v>3.5652366805075553E-2</v>
      </c>
      <c r="O487" s="237">
        <v>0.17963583843754613</v>
      </c>
      <c r="P487" s="237">
        <v>8.9008870189619671E-2</v>
      </c>
      <c r="Q487" s="237">
        <v>4.9569761004366164E-2</v>
      </c>
      <c r="R487" s="237">
        <v>4.9569761004366164E-2</v>
      </c>
      <c r="S487" s="237">
        <v>4.9569761004366164E-2</v>
      </c>
      <c r="T487" s="237">
        <v>4.9569761004366164E-2</v>
      </c>
      <c r="U487" s="237">
        <v>4.9569761004366164E-2</v>
      </c>
      <c r="V487" s="237">
        <v>0</v>
      </c>
      <c r="W487" s="237">
        <v>0</v>
      </c>
      <c r="X487" s="237">
        <v>0</v>
      </c>
      <c r="Y487" s="237">
        <v>0</v>
      </c>
      <c r="Z487" s="237">
        <v>0</v>
      </c>
      <c r="AA487" s="237">
        <v>5.7891449732697016</v>
      </c>
    </row>
    <row r="488" spans="1:27" x14ac:dyDescent="0.35">
      <c r="A488" s="238" t="s">
        <v>351</v>
      </c>
      <c r="B488" s="237">
        <v>-1.5656909999999999E-3</v>
      </c>
      <c r="C488" s="237">
        <v>-4.8848159000000002E-2</v>
      </c>
      <c r="D488" s="237">
        <v>-1.9914458999999999E-2</v>
      </c>
      <c r="E488" s="237">
        <v>-1.1455734E-2</v>
      </c>
      <c r="F488" s="237">
        <v>-1.6838479999999999E-2</v>
      </c>
      <c r="G488" s="191">
        <v>1.7862606136200592</v>
      </c>
      <c r="H488" s="191">
        <v>0.35219533350061194</v>
      </c>
      <c r="I488" s="191">
        <v>1.6296472792826477</v>
      </c>
      <c r="J488" s="191">
        <v>0.916813834866961</v>
      </c>
      <c r="K488" s="191">
        <v>2.3535271983433366</v>
      </c>
      <c r="L488" s="237">
        <v>5.371911396377578E-2</v>
      </c>
      <c r="M488" s="237">
        <v>8.6266338651879659E-2</v>
      </c>
      <c r="N488" s="237">
        <v>4.6167453093640148E-2</v>
      </c>
      <c r="O488" s="237">
        <v>0.13911294666295507</v>
      </c>
      <c r="P488" s="237">
        <v>5.1031858063330257E-2</v>
      </c>
      <c r="Q488" s="237">
        <v>3.0128985699854928E-2</v>
      </c>
      <c r="R488" s="237">
        <v>3.0128985699854928E-2</v>
      </c>
      <c r="S488" s="237">
        <v>3.0128985699854928E-2</v>
      </c>
      <c r="T488" s="237">
        <v>3.0128985699854928E-2</v>
      </c>
      <c r="U488" s="237">
        <v>3.0128985699854928E-2</v>
      </c>
      <c r="V488" s="237">
        <v>0</v>
      </c>
      <c r="W488" s="237">
        <v>0</v>
      </c>
      <c r="X488" s="237">
        <v>0</v>
      </c>
      <c r="Y488" s="237">
        <v>0</v>
      </c>
      <c r="Z488" s="237">
        <v>0</v>
      </c>
      <c r="AA488" s="237">
        <v>6.9055667191250105</v>
      </c>
    </row>
    <row r="489" spans="1:27" x14ac:dyDescent="0.35">
      <c r="A489" s="238" t="s">
        <v>350</v>
      </c>
      <c r="B489" s="237">
        <v>1.5407752E-2</v>
      </c>
      <c r="C489" s="237">
        <v>-1.6309381000000001E-2</v>
      </c>
      <c r="D489" s="237">
        <v>-1.4001164999999999E-2</v>
      </c>
      <c r="E489" s="237">
        <v>6.6328000000000003E-3</v>
      </c>
      <c r="F489" s="237">
        <v>-2.5385000000000002E-4</v>
      </c>
      <c r="G489" s="191">
        <v>1.7654612366537779</v>
      </c>
      <c r="H489" s="191">
        <v>0.14392398218341645</v>
      </c>
      <c r="I489" s="191">
        <v>2.0441249778280559</v>
      </c>
      <c r="J489" s="191">
        <v>1.7203220587904575</v>
      </c>
      <c r="K489" s="191">
        <v>7.079585118618744</v>
      </c>
      <c r="L489" s="237">
        <v>5.5460653487550561E-2</v>
      </c>
      <c r="M489" s="237">
        <v>0.30866069577001276</v>
      </c>
      <c r="N489" s="237">
        <v>5.9551773749938329E-2</v>
      </c>
      <c r="O489" s="237">
        <v>0.16207274161753821</v>
      </c>
      <c r="P489" s="237">
        <v>3.8658479371529775E-2</v>
      </c>
      <c r="Q489" s="237">
        <v>4.736154303877569E-2</v>
      </c>
      <c r="R489" s="237">
        <v>4.736154303877569E-2</v>
      </c>
      <c r="S489" s="237">
        <v>4.736154303877569E-2</v>
      </c>
      <c r="T489" s="237">
        <v>4.736154303877569E-2</v>
      </c>
      <c r="U489" s="237">
        <v>4.736154303877569E-2</v>
      </c>
      <c r="V489" s="237">
        <v>0</v>
      </c>
      <c r="W489" s="237">
        <v>0</v>
      </c>
      <c r="X489" s="237">
        <v>0</v>
      </c>
      <c r="Y489" s="237">
        <v>0</v>
      </c>
      <c r="Z489" s="237">
        <v>0</v>
      </c>
      <c r="AA489" s="237">
        <v>13.823979538086423</v>
      </c>
    </row>
    <row r="490" spans="1:27" x14ac:dyDescent="0.35">
      <c r="A490" s="238" t="s">
        <v>349</v>
      </c>
      <c r="B490" s="237">
        <v>7.3356869999999996E-3</v>
      </c>
      <c r="C490" s="237">
        <v>-5.5210666999999998E-2</v>
      </c>
      <c r="D490" s="237">
        <v>-3.8420375E-2</v>
      </c>
      <c r="E490" s="237">
        <v>-1.2996376E-2</v>
      </c>
      <c r="F490" s="237">
        <v>-2.748089E-3</v>
      </c>
      <c r="G490" s="191">
        <v>2.1999457440729291</v>
      </c>
      <c r="H490" s="191">
        <v>0.24014901435638161</v>
      </c>
      <c r="I490" s="191">
        <v>0.52793235104895453</v>
      </c>
      <c r="J490" s="191">
        <v>1.344758899655073</v>
      </c>
      <c r="K490" s="191">
        <v>2.7472797340606054</v>
      </c>
      <c r="L490" s="237">
        <v>2.6706497694300349E-2</v>
      </c>
      <c r="M490" s="237">
        <v>0.10679443909748393</v>
      </c>
      <c r="N490" s="237">
        <v>7.228387447578527E-2</v>
      </c>
      <c r="O490" s="237">
        <v>6.0533275547226276E-2</v>
      </c>
      <c r="P490" s="237">
        <v>2.8163474730321165E-2</v>
      </c>
      <c r="Q490" s="237">
        <v>1.9201762200048E-2</v>
      </c>
      <c r="R490" s="237">
        <v>1.9201762200047965E-2</v>
      </c>
      <c r="S490" s="237">
        <v>1.9201762200047965E-2</v>
      </c>
      <c r="T490" s="237">
        <v>1.9201762200047965E-2</v>
      </c>
      <c r="U490" s="237">
        <v>1.9201762200047965E-2</v>
      </c>
      <c r="V490" s="237">
        <v>0</v>
      </c>
      <c r="W490" s="237">
        <v>0</v>
      </c>
      <c r="X490" s="237">
        <v>0</v>
      </c>
      <c r="Y490" s="237">
        <v>0</v>
      </c>
      <c r="Z490" s="237">
        <v>0</v>
      </c>
      <c r="AA490" s="237">
        <v>6.6682809899032236</v>
      </c>
    </row>
    <row r="491" spans="1:27" x14ac:dyDescent="0.35">
      <c r="A491" s="238" t="s">
        <v>348</v>
      </c>
      <c r="B491" s="237">
        <v>-1.4794666999999999E-2</v>
      </c>
      <c r="C491" s="237">
        <v>-0.13612798700000001</v>
      </c>
      <c r="D491" s="237">
        <v>-5.0072489999999997E-2</v>
      </c>
      <c r="E491" s="237">
        <v>-8.9621809999999996E-3</v>
      </c>
      <c r="F491" s="237">
        <v>-8.8104270999999998E-2</v>
      </c>
      <c r="G491" s="191">
        <v>0.31326259549501861</v>
      </c>
      <c r="H491" s="191">
        <v>4.4876514128212898E-2</v>
      </c>
      <c r="I491" s="191">
        <v>0.24156298078554952</v>
      </c>
      <c r="J491" s="191">
        <v>0.13033325871434107</v>
      </c>
      <c r="K491" s="191">
        <v>0.13256471647883097</v>
      </c>
      <c r="L491" s="237">
        <v>5.4287289004448222E-2</v>
      </c>
      <c r="M491" s="237">
        <v>0.16783999627431043</v>
      </c>
      <c r="N491" s="237">
        <v>4.2631086278719199E-2</v>
      </c>
      <c r="O491" s="237">
        <v>0.18144195127463453</v>
      </c>
      <c r="P491" s="237">
        <v>8.4715960914763397E-2</v>
      </c>
      <c r="Q491" s="237">
        <v>5.4631780535187295E-2</v>
      </c>
      <c r="R491" s="237">
        <v>5.4631780535187295E-2</v>
      </c>
      <c r="S491" s="237">
        <v>5.4631780535187295E-2</v>
      </c>
      <c r="T491" s="237">
        <v>5.4631780535187295E-2</v>
      </c>
      <c r="U491" s="237">
        <v>5.4631780535187295E-2</v>
      </c>
      <c r="V491" s="237">
        <v>0</v>
      </c>
      <c r="W491" s="237">
        <v>0</v>
      </c>
      <c r="X491" s="237">
        <v>0</v>
      </c>
      <c r="Y491" s="237">
        <v>0</v>
      </c>
      <c r="Z491" s="237">
        <v>0</v>
      </c>
      <c r="AA491" s="237">
        <v>0.86344889998477115</v>
      </c>
    </row>
    <row r="492" spans="1:27" x14ac:dyDescent="0.35">
      <c r="A492" s="238" t="s">
        <v>347</v>
      </c>
      <c r="B492" s="237">
        <v>-4.1473966000000001E-2</v>
      </c>
      <c r="C492" s="237">
        <v>-0.148237389</v>
      </c>
      <c r="D492" s="237">
        <v>-7.5404138999999995E-2</v>
      </c>
      <c r="E492" s="237">
        <v>-4.2174594000000003E-2</v>
      </c>
      <c r="F492" s="237">
        <v>-0.121488732</v>
      </c>
      <c r="G492" s="191">
        <v>0.24895235432425467</v>
      </c>
      <c r="H492" s="191">
        <v>3.0935037153437074E-2</v>
      </c>
      <c r="I492" s="191">
        <v>0.2025018460671438</v>
      </c>
      <c r="J492" s="191">
        <v>7.7941746845791096E-2</v>
      </c>
      <c r="K492" s="191">
        <v>2.5339117161324965E-2</v>
      </c>
      <c r="L492" s="237">
        <v>4.2540831544814597E-2</v>
      </c>
      <c r="M492" s="237">
        <v>0.12840837718138165</v>
      </c>
      <c r="N492" s="237">
        <v>4.271242832257946E-2</v>
      </c>
      <c r="O492" s="237">
        <v>0.15581172720290154</v>
      </c>
      <c r="P492" s="237">
        <v>9.7859352633231894E-2</v>
      </c>
      <c r="Q492" s="237">
        <v>3.613413380292177E-2</v>
      </c>
      <c r="R492" s="237">
        <v>3.613413380292177E-2</v>
      </c>
      <c r="S492" s="237">
        <v>3.613413380292177E-2</v>
      </c>
      <c r="T492" s="237">
        <v>3.613413380292177E-2</v>
      </c>
      <c r="U492" s="237">
        <v>3.613413380292177E-2</v>
      </c>
      <c r="V492" s="237">
        <v>0</v>
      </c>
      <c r="W492" s="237">
        <v>0</v>
      </c>
      <c r="X492" s="237">
        <v>0</v>
      </c>
      <c r="Y492" s="237">
        <v>0</v>
      </c>
      <c r="Z492" s="237">
        <v>0</v>
      </c>
      <c r="AA492" s="237">
        <v>0.49324260062934999</v>
      </c>
    </row>
    <row r="493" spans="1:27" x14ac:dyDescent="0.35">
      <c r="A493" s="238" t="s">
        <v>346</v>
      </c>
      <c r="B493" s="237">
        <v>-9.0402580000000007E-3</v>
      </c>
      <c r="C493" s="237">
        <v>2.0698708999999999E-2</v>
      </c>
      <c r="D493" s="237">
        <v>-3.8991737999999998E-2</v>
      </c>
      <c r="E493" s="237">
        <v>7.0790000000000002E-4</v>
      </c>
      <c r="F493" s="237">
        <v>-3.0585286999999999E-2</v>
      </c>
      <c r="G493" s="191">
        <v>0.26602536568644769</v>
      </c>
      <c r="H493" s="191">
        <v>5.2542214521681042E-2</v>
      </c>
      <c r="I493" s="191">
        <v>0.18441103774116221</v>
      </c>
      <c r="J493" s="191">
        <v>0.10393196609250903</v>
      </c>
      <c r="K493" s="191">
        <v>6.6016799293447073E-2</v>
      </c>
      <c r="L493" s="237">
        <v>2.8753392871409152E-2</v>
      </c>
      <c r="M493" s="237">
        <v>0.27395717978242928</v>
      </c>
      <c r="N493" s="237">
        <v>6.5101581929158783E-2</v>
      </c>
      <c r="O493" s="237">
        <v>0.16612867014806681</v>
      </c>
      <c r="P493" s="237">
        <v>0.12494798295501</v>
      </c>
      <c r="Q493" s="237">
        <v>4.8283316968032702E-2</v>
      </c>
      <c r="R493" s="237">
        <v>4.8283316968032661E-2</v>
      </c>
      <c r="S493" s="237">
        <v>4.8283316968032661E-2</v>
      </c>
      <c r="T493" s="237">
        <v>4.8283316968032661E-2</v>
      </c>
      <c r="U493" s="237">
        <v>4.8283316968032661E-2</v>
      </c>
      <c r="V493" s="237">
        <v>0</v>
      </c>
      <c r="W493" s="237">
        <v>0</v>
      </c>
      <c r="X493" s="237">
        <v>0</v>
      </c>
      <c r="Y493" s="237">
        <v>0</v>
      </c>
      <c r="Z493" s="237">
        <v>0</v>
      </c>
      <c r="AA493" s="237">
        <v>0.66711798333220584</v>
      </c>
    </row>
    <row r="494" spans="1:27" x14ac:dyDescent="0.35">
      <c r="A494" s="238" t="s">
        <v>345</v>
      </c>
      <c r="B494" s="237">
        <v>-5.6945379999999999E-3</v>
      </c>
      <c r="C494" s="237">
        <v>-4.0441606999999997E-2</v>
      </c>
      <c r="D494" s="237">
        <v>-2.1694617999999999E-2</v>
      </c>
      <c r="E494" s="237">
        <v>-1.915651E-3</v>
      </c>
      <c r="F494" s="237">
        <v>-5.4642877999999999E-2</v>
      </c>
      <c r="G494" s="191">
        <v>0.79225870226421558</v>
      </c>
      <c r="H494" s="191">
        <v>0.36604614345951936</v>
      </c>
      <c r="I494" s="191">
        <v>1.9587050999351112</v>
      </c>
      <c r="J494" s="191">
        <v>0.65572369852720969</v>
      </c>
      <c r="K494" s="191">
        <v>1.2406698372753777</v>
      </c>
      <c r="L494" s="237">
        <v>7.7583860719307673E-2</v>
      </c>
      <c r="M494" s="237">
        <v>0.24158534964102008</v>
      </c>
      <c r="N494" s="237">
        <v>2.6767682396664431E-2</v>
      </c>
      <c r="O494" s="237">
        <v>0.18694512606919644</v>
      </c>
      <c r="P494" s="237">
        <v>8.9823615591546863E-2</v>
      </c>
      <c r="Q494" s="237">
        <v>4.619548230543797E-2</v>
      </c>
      <c r="R494" s="237">
        <v>4.619548230543797E-2</v>
      </c>
      <c r="S494" s="237">
        <v>4.619548230543797E-2</v>
      </c>
      <c r="T494" s="237">
        <v>4.619548230543797E-2</v>
      </c>
      <c r="U494" s="237">
        <v>4.619548230543797E-2</v>
      </c>
      <c r="V494" s="237">
        <v>0</v>
      </c>
      <c r="W494" s="237">
        <v>0</v>
      </c>
      <c r="X494" s="237">
        <v>0</v>
      </c>
      <c r="Y494" s="237">
        <v>0</v>
      </c>
      <c r="Z494" s="237">
        <v>0</v>
      </c>
      <c r="AA494" s="237">
        <v>4.2914268226122099</v>
      </c>
    </row>
    <row r="495" spans="1:27" x14ac:dyDescent="0.35">
      <c r="A495" s="238" t="s">
        <v>344</v>
      </c>
      <c r="B495" s="237">
        <v>5.321419E-3</v>
      </c>
      <c r="C495" s="237">
        <v>8.9184339999999994E-3</v>
      </c>
      <c r="D495" s="237">
        <v>-3.6798988999999997E-2</v>
      </c>
      <c r="E495" s="237">
        <v>-2.3250571000000001E-2</v>
      </c>
      <c r="F495" s="237">
        <v>5.2285122000000003E-2</v>
      </c>
      <c r="G495" s="191">
        <v>2.6329365375141487</v>
      </c>
      <c r="H495" s="191">
        <v>0.25089241522740796</v>
      </c>
      <c r="I495" s="191">
        <v>0.59650410699059597</v>
      </c>
      <c r="J495" s="191">
        <v>3.1406659378887456</v>
      </c>
      <c r="K495" s="191">
        <v>1.2377147803870046</v>
      </c>
      <c r="L495" s="237">
        <v>3.9795375501130804E-2</v>
      </c>
      <c r="M495" s="237">
        <v>0.13124526476915441</v>
      </c>
      <c r="N495" s="237">
        <v>0.19400450339781586</v>
      </c>
      <c r="O495" s="237">
        <v>7.4884621663359116E-2</v>
      </c>
      <c r="P495" s="237">
        <v>0.41864177017302595</v>
      </c>
      <c r="Q495" s="237">
        <v>4.6764028075779243E-2</v>
      </c>
      <c r="R495" s="237">
        <v>4.6764028075779243E-2</v>
      </c>
      <c r="S495" s="237">
        <v>4.6764028075779243E-2</v>
      </c>
      <c r="T495" s="237">
        <v>4.6764028075779243E-2</v>
      </c>
      <c r="U495" s="237">
        <v>4.6764028075779243E-2</v>
      </c>
      <c r="V495" s="237">
        <v>0</v>
      </c>
      <c r="W495" s="237">
        <v>0</v>
      </c>
      <c r="X495" s="237">
        <v>0</v>
      </c>
      <c r="Y495" s="237">
        <v>0</v>
      </c>
      <c r="Z495" s="237">
        <v>0</v>
      </c>
      <c r="AA495" s="237">
        <v>8.7765186346144475</v>
      </c>
    </row>
    <row r="496" spans="1:27" x14ac:dyDescent="0.35">
      <c r="A496" s="238" t="s">
        <v>343</v>
      </c>
      <c r="B496" s="237">
        <v>-8.4139309999999995E-3</v>
      </c>
      <c r="C496" s="237">
        <v>-0.31124022499999998</v>
      </c>
      <c r="D496" s="237">
        <v>-4.5314099999999996E-3</v>
      </c>
      <c r="E496" s="237">
        <v>4.9053789999999996E-3</v>
      </c>
      <c r="F496" s="237">
        <v>9.3747020000000004E-3</v>
      </c>
      <c r="G496" s="191">
        <v>7.9818401071554176E-2</v>
      </c>
      <c r="H496" s="191">
        <v>1.2056202327930386E-2</v>
      </c>
      <c r="I496" s="191">
        <v>0.70672138630202719</v>
      </c>
      <c r="J496" s="191">
        <v>6.2836409124057399E-2</v>
      </c>
      <c r="K496" s="191">
        <v>9.3571687467573203E-2</v>
      </c>
      <c r="L496" s="237">
        <v>9.7989343598882325E-2</v>
      </c>
      <c r="M496" s="237">
        <v>0.2432371025336395</v>
      </c>
      <c r="N496" s="237">
        <v>1.9900119438720647E-2</v>
      </c>
      <c r="O496" s="237">
        <v>7.0062171364673284E-2</v>
      </c>
      <c r="P496" s="237">
        <v>5.147500994710745E-2</v>
      </c>
      <c r="Q496" s="237">
        <v>2.9100237549488709E-2</v>
      </c>
      <c r="R496" s="237">
        <v>2.9100237549488709E-2</v>
      </c>
      <c r="S496" s="237">
        <v>2.9100237549488709E-2</v>
      </c>
      <c r="T496" s="237">
        <v>2.9100237549488709E-2</v>
      </c>
      <c r="U496" s="237">
        <v>2.9100237549488709E-2</v>
      </c>
      <c r="V496" s="237">
        <v>0</v>
      </c>
      <c r="W496" s="237">
        <v>0</v>
      </c>
      <c r="X496" s="237">
        <v>0</v>
      </c>
      <c r="Y496" s="237">
        <v>0</v>
      </c>
      <c r="Z496" s="237">
        <v>0</v>
      </c>
      <c r="AA496" s="237">
        <v>0.93924068283449036</v>
      </c>
    </row>
    <row r="497" spans="1:27" x14ac:dyDescent="0.35">
      <c r="A497" s="238" t="s">
        <v>342</v>
      </c>
      <c r="B497" s="237">
        <v>6.0591129999999997E-3</v>
      </c>
      <c r="C497" s="237">
        <v>-1.4225343999999999E-2</v>
      </c>
      <c r="D497" s="237">
        <v>-2.1904324999999999E-2</v>
      </c>
      <c r="E497" s="237">
        <v>-1.0921981000000001E-2</v>
      </c>
      <c r="F497" s="237">
        <v>-0.17006181200000001</v>
      </c>
      <c r="G497" s="191">
        <v>0.27965689364716184</v>
      </c>
      <c r="H497" s="191">
        <v>3.9290179798411241E-2</v>
      </c>
      <c r="I497" s="191">
        <v>0.4964532411883088</v>
      </c>
      <c r="J497" s="191">
        <v>0.10455470303966023</v>
      </c>
      <c r="K497" s="191">
        <v>6.9122551053270552E-3</v>
      </c>
      <c r="L497" s="237">
        <v>3.7336523706628252E-2</v>
      </c>
      <c r="M497" s="237">
        <v>0.13749750822463547</v>
      </c>
      <c r="N497" s="237">
        <v>2.7727342832551908E-2</v>
      </c>
      <c r="O497" s="237">
        <v>6.6652243197792629E-2</v>
      </c>
      <c r="P497" s="237">
        <v>0.40786444471466771</v>
      </c>
      <c r="Q497" s="237">
        <v>4.6101188150660444E-2</v>
      </c>
      <c r="R497" s="237">
        <v>4.6101188150660444E-2</v>
      </c>
      <c r="S497" s="237">
        <v>4.6101188150660444E-2</v>
      </c>
      <c r="T497" s="237">
        <v>4.6101188150660444E-2</v>
      </c>
      <c r="U497" s="237">
        <v>4.6101188150660444E-2</v>
      </c>
      <c r="V497" s="237">
        <v>0</v>
      </c>
      <c r="W497" s="237">
        <v>0</v>
      </c>
      <c r="X497" s="237">
        <v>0</v>
      </c>
      <c r="Y497" s="237">
        <v>0</v>
      </c>
      <c r="Z497" s="237">
        <v>0</v>
      </c>
      <c r="AA497" s="237">
        <v>0.95827484247743222</v>
      </c>
    </row>
    <row r="498" spans="1:27" x14ac:dyDescent="0.35">
      <c r="A498" s="238" t="s">
        <v>341</v>
      </c>
      <c r="B498" s="237">
        <v>-3.63951E-4</v>
      </c>
      <c r="C498" s="237">
        <v>-1.9053781999999998E-2</v>
      </c>
      <c r="D498" s="237">
        <v>-4.1339123999999998E-2</v>
      </c>
      <c r="E498" s="237">
        <v>-2.7303214999999999E-2</v>
      </c>
      <c r="F498" s="237">
        <v>-7.8958925999999999E-2</v>
      </c>
      <c r="G498" s="191">
        <v>0.20399321708074358</v>
      </c>
      <c r="H498" s="191">
        <v>4.7066991125771812E-2</v>
      </c>
      <c r="I498" s="191">
        <v>0.52272893995392111</v>
      </c>
      <c r="J498" s="191">
        <v>7.0179757514970464E-2</v>
      </c>
      <c r="K498" s="191">
        <v>1.6716824971548819E-2</v>
      </c>
      <c r="L498" s="237">
        <v>6.1817792428597057E-2</v>
      </c>
      <c r="M498" s="237">
        <v>0.17096817380768795</v>
      </c>
      <c r="N498" s="237">
        <v>3.3348878536344079E-2</v>
      </c>
      <c r="O498" s="237">
        <v>8.5668114146885563E-2</v>
      </c>
      <c r="P498" s="237">
        <v>0.15965177696441277</v>
      </c>
      <c r="Q498" s="237">
        <v>2.5728315100477173E-2</v>
      </c>
      <c r="R498" s="237">
        <v>2.5728315100477173E-2</v>
      </c>
      <c r="S498" s="237">
        <v>2.5728315100477173E-2</v>
      </c>
      <c r="T498" s="237">
        <v>2.5728315100477173E-2</v>
      </c>
      <c r="U498" s="237">
        <v>2.5728315100477173E-2</v>
      </c>
      <c r="V498" s="237">
        <v>0</v>
      </c>
      <c r="W498" s="237">
        <v>0</v>
      </c>
      <c r="X498" s="237">
        <v>0</v>
      </c>
      <c r="Y498" s="237">
        <v>0</v>
      </c>
      <c r="Z498" s="237">
        <v>0</v>
      </c>
      <c r="AA498" s="237">
        <v>0.73265327985814188</v>
      </c>
    </row>
    <row r="499" spans="1:27" x14ac:dyDescent="0.35">
      <c r="A499" s="238" t="s">
        <v>340</v>
      </c>
      <c r="B499" s="237">
        <v>-3.8634749999999999E-3</v>
      </c>
      <c r="C499" s="237">
        <v>-1.3256828E-2</v>
      </c>
      <c r="D499" s="237">
        <v>-2.9688591E-2</v>
      </c>
      <c r="E499" s="237">
        <v>-4.5837330000000004E-3</v>
      </c>
      <c r="F499" s="237">
        <v>-9.6551748000000007E-2</v>
      </c>
      <c r="G499" s="191">
        <v>0.47008904095609366</v>
      </c>
      <c r="H499" s="191">
        <v>4.0624476649071505E-2</v>
      </c>
      <c r="I499" s="191">
        <v>1.0185377329007039</v>
      </c>
      <c r="J499" s="191">
        <v>0.177562069213027</v>
      </c>
      <c r="K499" s="191">
        <v>1.7737844896048568E-2</v>
      </c>
      <c r="L499" s="237">
        <v>3.822917369882374E-2</v>
      </c>
      <c r="M499" s="237">
        <v>0.12604030912135453</v>
      </c>
      <c r="N499" s="237">
        <v>2.5289398081634433E-2</v>
      </c>
      <c r="O499" s="237">
        <v>7.3635655632404026E-2</v>
      </c>
      <c r="P499" s="237">
        <v>0.15494160970194201</v>
      </c>
      <c r="Q499" s="237">
        <v>2.5728639084181593E-2</v>
      </c>
      <c r="R499" s="237">
        <v>2.5728639084181593E-2</v>
      </c>
      <c r="S499" s="237">
        <v>2.5728639084181593E-2</v>
      </c>
      <c r="T499" s="237">
        <v>2.5728639084181593E-2</v>
      </c>
      <c r="U499" s="237">
        <v>2.5728639084181593E-2</v>
      </c>
      <c r="V499" s="237">
        <v>0</v>
      </c>
      <c r="W499" s="237">
        <v>0</v>
      </c>
      <c r="X499" s="237">
        <v>0</v>
      </c>
      <c r="Y499" s="237">
        <v>0</v>
      </c>
      <c r="Z499" s="237">
        <v>0</v>
      </c>
      <c r="AA499" s="237">
        <v>1.6387838454094821</v>
      </c>
    </row>
    <row r="500" spans="1:27" x14ac:dyDescent="0.35">
      <c r="A500" s="238" t="s">
        <v>339</v>
      </c>
      <c r="B500" s="237">
        <v>1.9808065E-2</v>
      </c>
      <c r="C500" s="237">
        <v>-1.2572441E-2</v>
      </c>
      <c r="D500" s="237">
        <v>-3.1312942000000003E-2</v>
      </c>
      <c r="E500" s="237">
        <v>5.2585621999999999E-2</v>
      </c>
      <c r="F500" s="237">
        <v>-2.2346415000000001E-2</v>
      </c>
      <c r="G500" s="191">
        <v>0.69758651463630739</v>
      </c>
      <c r="H500" s="191">
        <v>5.174077473653161E-2</v>
      </c>
      <c r="I500" s="191">
        <v>1.0084245382646344</v>
      </c>
      <c r="J500" s="191">
        <v>0.28591236839346135</v>
      </c>
      <c r="K500" s="191">
        <v>0.29674070365042948</v>
      </c>
      <c r="L500" s="237">
        <v>4.6701518150358147E-2</v>
      </c>
      <c r="M500" s="237">
        <v>0.11926162650549273</v>
      </c>
      <c r="N500" s="237">
        <v>4.5525550630005143E-2</v>
      </c>
      <c r="O500" s="237">
        <v>0.12689928668787459</v>
      </c>
      <c r="P500" s="237">
        <v>7.1896623350956271E-2</v>
      </c>
      <c r="Q500" s="237">
        <v>2.8805024105526489E-2</v>
      </c>
      <c r="R500" s="237">
        <v>2.8805024105526489E-2</v>
      </c>
      <c r="S500" s="237">
        <v>2.8805024105526489E-2</v>
      </c>
      <c r="T500" s="237">
        <v>2.8805024105526489E-2</v>
      </c>
      <c r="U500" s="237">
        <v>2.8805024105526489E-2</v>
      </c>
      <c r="V500" s="237">
        <v>0</v>
      </c>
      <c r="W500" s="237">
        <v>0</v>
      </c>
      <c r="X500" s="237">
        <v>0</v>
      </c>
      <c r="Y500" s="237">
        <v>0</v>
      </c>
      <c r="Z500" s="237">
        <v>0</v>
      </c>
      <c r="AA500" s="237">
        <v>2.6180639873329015</v>
      </c>
    </row>
    <row r="501" spans="1:27" x14ac:dyDescent="0.35">
      <c r="A501" s="238" t="s">
        <v>338</v>
      </c>
      <c r="B501" s="237">
        <v>-4.0456260000000001E-3</v>
      </c>
      <c r="C501" s="237">
        <v>0</v>
      </c>
      <c r="D501" s="237">
        <v>2.9051749999999999E-3</v>
      </c>
      <c r="E501" s="237">
        <v>-8.7367940000000009E-3</v>
      </c>
      <c r="F501" s="237">
        <v>-6.6503532000000004E-2</v>
      </c>
      <c r="G501" s="191">
        <v>0.42814418035587165</v>
      </c>
      <c r="H501" s="191">
        <v>0</v>
      </c>
      <c r="I501" s="191">
        <v>5.9055347417045407</v>
      </c>
      <c r="J501" s="191">
        <v>1.7138893365378558</v>
      </c>
      <c r="K501" s="191">
        <v>9.6040436734685375E-2</v>
      </c>
      <c r="L501" s="237">
        <v>2.4817045035652661E-2</v>
      </c>
      <c r="M501" s="237">
        <v>1.5235402249911625E-2</v>
      </c>
      <c r="N501" s="237">
        <v>1.4792965087172167E-2</v>
      </c>
      <c r="O501" s="237">
        <v>4.3903831877845703E-2</v>
      </c>
      <c r="P501" s="237">
        <v>0.14596202066588615</v>
      </c>
      <c r="Q501" s="237">
        <v>1.47473830876619E-2</v>
      </c>
      <c r="R501" s="237">
        <v>1.474738308766191E-2</v>
      </c>
      <c r="S501" s="237">
        <v>1.474738308766191E-2</v>
      </c>
      <c r="T501" s="237">
        <v>1.474738308766191E-2</v>
      </c>
      <c r="U501" s="237">
        <v>1.474738308766191E-2</v>
      </c>
      <c r="V501" s="237">
        <v>0</v>
      </c>
      <c r="W501" s="237">
        <v>0</v>
      </c>
      <c r="X501" s="237">
        <v>0</v>
      </c>
      <c r="Y501" s="237">
        <v>0</v>
      </c>
      <c r="Z501" s="237">
        <v>0</v>
      </c>
      <c r="AA501" s="237">
        <v>8.12139811472845</v>
      </c>
    </row>
    <row r="502" spans="1:27" x14ac:dyDescent="0.35">
      <c r="A502" s="238" t="s">
        <v>337</v>
      </c>
      <c r="B502" s="237">
        <v>0</v>
      </c>
      <c r="C502" s="237">
        <v>0</v>
      </c>
      <c r="D502" s="237">
        <v>-3.7427165999999998E-2</v>
      </c>
      <c r="E502" s="237">
        <v>-4.7709142000000003E-2</v>
      </c>
      <c r="F502" s="237">
        <v>-7.0703652000000006E-2</v>
      </c>
      <c r="G502" s="191">
        <v>0</v>
      </c>
      <c r="H502" s="191">
        <v>0</v>
      </c>
      <c r="I502" s="191">
        <v>25.380706133568221</v>
      </c>
      <c r="J502" s="191">
        <v>5.5690805727499926E-6</v>
      </c>
      <c r="K502" s="191">
        <v>1.1991602081475282E-2</v>
      </c>
      <c r="L502" s="237">
        <v>6.4556679381034709E-2</v>
      </c>
      <c r="M502" s="237">
        <v>6.4556679381034709E-2</v>
      </c>
      <c r="N502" s="237">
        <v>9.3504490701397272E-5</v>
      </c>
      <c r="O502" s="237">
        <v>0.23126935543393493</v>
      </c>
      <c r="P502" s="237">
        <v>0.167744648963842</v>
      </c>
      <c r="Q502" s="237">
        <v>3.206355538526983E-2</v>
      </c>
      <c r="R502" s="237">
        <v>3.206355538526983E-2</v>
      </c>
      <c r="S502" s="237">
        <v>3.206355538526983E-2</v>
      </c>
      <c r="T502" s="237">
        <v>3.206355538526983E-2</v>
      </c>
      <c r="U502" s="237">
        <v>3.206355538526983E-2</v>
      </c>
      <c r="V502" s="237">
        <v>0</v>
      </c>
      <c r="W502" s="237">
        <v>0</v>
      </c>
      <c r="X502" s="237">
        <v>0</v>
      </c>
      <c r="Y502" s="237">
        <v>0</v>
      </c>
      <c r="Z502" s="237">
        <v>0</v>
      </c>
      <c r="AA502" s="237">
        <v>23.63826496958816</v>
      </c>
    </row>
    <row r="503" spans="1:27" x14ac:dyDescent="0.35">
      <c r="A503" s="238" t="s">
        <v>336</v>
      </c>
      <c r="B503" s="237">
        <v>0</v>
      </c>
      <c r="C503" s="237">
        <v>0</v>
      </c>
      <c r="D503" s="237">
        <v>-4.693137E-3</v>
      </c>
      <c r="E503" s="237">
        <v>-1.2266717999999999E-2</v>
      </c>
      <c r="F503" s="237">
        <v>-0.73407053899999997</v>
      </c>
      <c r="G503" s="191">
        <v>0</v>
      </c>
      <c r="H503" s="191">
        <v>0</v>
      </c>
      <c r="I503" s="191">
        <v>27.148378588319208</v>
      </c>
      <c r="J503" s="191">
        <v>2.5721732762408592E-5</v>
      </c>
      <c r="K503" s="191">
        <v>9.2047256378110617E-8</v>
      </c>
      <c r="L503" s="237">
        <v>2.5340352963355191E-2</v>
      </c>
      <c r="M503" s="237">
        <v>2.5340352963355191E-2</v>
      </c>
      <c r="N503" s="237">
        <v>8.8924391406836487E-8</v>
      </c>
      <c r="O503" s="237">
        <v>0.13490175577507529</v>
      </c>
      <c r="P503" s="237">
        <v>2.5340352963355191E-2</v>
      </c>
      <c r="Q503" s="237">
        <v>2.1170918202417111E-2</v>
      </c>
      <c r="R503" s="237">
        <v>2.1170918202417111E-2</v>
      </c>
      <c r="S503" s="237">
        <v>2.1170918202417111E-2</v>
      </c>
      <c r="T503" s="237">
        <v>2.1170918202417111E-2</v>
      </c>
      <c r="U503" s="237">
        <v>2.1170918202417111E-2</v>
      </c>
      <c r="V503" s="237">
        <v>0</v>
      </c>
      <c r="W503" s="237">
        <v>0</v>
      </c>
      <c r="X503" s="237">
        <v>0</v>
      </c>
      <c r="Y503" s="237">
        <v>0</v>
      </c>
      <c r="Z503" s="237">
        <v>0</v>
      </c>
      <c r="AA503" s="237">
        <v>25.085708850793683</v>
      </c>
    </row>
    <row r="504" spans="1:27" x14ac:dyDescent="0.35">
      <c r="A504" s="238" t="s">
        <v>335</v>
      </c>
      <c r="B504" s="237">
        <v>1.0341273999999999E-2</v>
      </c>
      <c r="C504" s="237">
        <v>-0.18672971199999999</v>
      </c>
      <c r="D504" s="237">
        <v>1.0360568000000001E-2</v>
      </c>
      <c r="E504" s="237">
        <v>-4.0650700999999997E-2</v>
      </c>
      <c r="F504" s="237">
        <v>-9.7136935999999993E-2</v>
      </c>
      <c r="G504" s="191">
        <v>0.32369825391559337</v>
      </c>
      <c r="H504" s="191">
        <v>7.6941415794401669E-2</v>
      </c>
      <c r="I504" s="191">
        <v>2.4785859564267732</v>
      </c>
      <c r="J504" s="191">
        <v>0.1026264908600997</v>
      </c>
      <c r="K504" s="191">
        <v>2.3635420648333905E-2</v>
      </c>
      <c r="L504" s="237">
        <v>5.4296348469561155E-2</v>
      </c>
      <c r="M504" s="237">
        <v>0.23551323109710881</v>
      </c>
      <c r="N504" s="237">
        <v>2.6678302650249369E-2</v>
      </c>
      <c r="O504" s="237">
        <v>9.3107674818144762E-2</v>
      </c>
      <c r="P504" s="237">
        <v>0.17226978265228293</v>
      </c>
      <c r="Q504" s="237">
        <v>3.5054527281847013E-2</v>
      </c>
      <c r="R504" s="237">
        <v>3.5054527281847013E-2</v>
      </c>
      <c r="S504" s="237">
        <v>3.5054527281847013E-2</v>
      </c>
      <c r="T504" s="237">
        <v>3.5054527281847013E-2</v>
      </c>
      <c r="U504" s="237">
        <v>3.5054527281847013E-2</v>
      </c>
      <c r="V504" s="237">
        <v>0</v>
      </c>
      <c r="W504" s="237">
        <v>0</v>
      </c>
      <c r="X504" s="237">
        <v>0</v>
      </c>
      <c r="Y504" s="237">
        <v>0</v>
      </c>
      <c r="Z504" s="237">
        <v>0</v>
      </c>
      <c r="AA504" s="237">
        <v>3.1151167953952954</v>
      </c>
    </row>
    <row r="505" spans="1:27" x14ac:dyDescent="0.35">
      <c r="A505" s="238" t="s">
        <v>334</v>
      </c>
      <c r="B505" s="237">
        <v>1.2397149E-2</v>
      </c>
      <c r="C505" s="237">
        <v>-4.0827057999999999E-2</v>
      </c>
      <c r="D505" s="237">
        <v>-4.0856532000000001E-2</v>
      </c>
      <c r="E505" s="237">
        <v>-0.107143895</v>
      </c>
      <c r="F505" s="237">
        <v>-3.7621763000000003E-2</v>
      </c>
      <c r="G505" s="191">
        <v>0.2603283205745559</v>
      </c>
      <c r="H505" s="191">
        <v>2.8316188776702115E-2</v>
      </c>
      <c r="I505" s="191">
        <v>0.50390554912474184</v>
      </c>
      <c r="J505" s="191">
        <v>0.18958196691492568</v>
      </c>
      <c r="K505" s="191">
        <v>6.4157877213194192E-3</v>
      </c>
      <c r="L505" s="237">
        <v>0.11869466686822558</v>
      </c>
      <c r="M505" s="237">
        <v>0.1744715989874033</v>
      </c>
      <c r="N505" s="237">
        <v>4.6786831582923065E-2</v>
      </c>
      <c r="O505" s="237">
        <v>0.11347584157697026</v>
      </c>
      <c r="P505" s="237">
        <v>0.1583991115537482</v>
      </c>
      <c r="Q505" s="237">
        <v>5.3308952759198912E-2</v>
      </c>
      <c r="R505" s="237">
        <v>5.3308952759198912E-2</v>
      </c>
      <c r="S505" s="237">
        <v>5.3308952759198912E-2</v>
      </c>
      <c r="T505" s="237">
        <v>5.3308952759198912E-2</v>
      </c>
      <c r="U505" s="237">
        <v>5.3308952759198912E-2</v>
      </c>
      <c r="V505" s="237">
        <v>0</v>
      </c>
      <c r="W505" s="237">
        <v>0</v>
      </c>
      <c r="X505" s="237">
        <v>0</v>
      </c>
      <c r="Y505" s="237">
        <v>0</v>
      </c>
      <c r="Z505" s="237">
        <v>0</v>
      </c>
      <c r="AA505" s="237">
        <v>0.91657009973138914</v>
      </c>
    </row>
    <row r="506" spans="1:27" x14ac:dyDescent="0.35">
      <c r="A506" s="238" t="s">
        <v>333</v>
      </c>
      <c r="B506" s="237">
        <v>-4.4733630000000002E-3</v>
      </c>
      <c r="C506" s="237">
        <v>-0.139828695</v>
      </c>
      <c r="D506" s="237">
        <v>-4.7493446000000002E-2</v>
      </c>
      <c r="E506" s="237">
        <v>-1.0132505999999999E-2</v>
      </c>
      <c r="F506" s="237">
        <v>-0.346547983</v>
      </c>
      <c r="G506" s="191">
        <v>0.1160599929351302</v>
      </c>
      <c r="H506" s="191">
        <v>1.498877870550671E-2</v>
      </c>
      <c r="I506" s="191">
        <v>0.23489360829412367</v>
      </c>
      <c r="J506" s="191">
        <v>4.3147278170081939E-2</v>
      </c>
      <c r="K506" s="191">
        <v>3.6563880171177408E-3</v>
      </c>
      <c r="L506" s="237">
        <v>7.6822079947536953E-2</v>
      </c>
      <c r="M506" s="237">
        <v>0.16489642627009896</v>
      </c>
      <c r="N506" s="237">
        <v>4.2121335221972506E-2</v>
      </c>
      <c r="O506" s="237">
        <v>7.0614621696179047E-2</v>
      </c>
      <c r="P506" s="237">
        <v>0.2462345670527929</v>
      </c>
      <c r="Q506" s="237">
        <v>2.7337944699365419E-2</v>
      </c>
      <c r="R506" s="237">
        <v>2.7337944699365419E-2</v>
      </c>
      <c r="S506" s="237">
        <v>2.7337944699365419E-2</v>
      </c>
      <c r="T506" s="237">
        <v>2.7337944699365419E-2</v>
      </c>
      <c r="U506" s="237">
        <v>2.7337944699365419E-2</v>
      </c>
      <c r="V506" s="237">
        <v>0</v>
      </c>
      <c r="W506" s="237">
        <v>0</v>
      </c>
      <c r="X506" s="237">
        <v>0</v>
      </c>
      <c r="Y506" s="237">
        <v>0</v>
      </c>
      <c r="Z506" s="237">
        <v>0</v>
      </c>
      <c r="AA506" s="237">
        <v>0.37889300383642088</v>
      </c>
    </row>
    <row r="507" spans="1:27" x14ac:dyDescent="0.35">
      <c r="A507" s="238" t="s">
        <v>332</v>
      </c>
      <c r="B507" s="237">
        <v>-1.6376844000000002E-2</v>
      </c>
      <c r="C507" s="237">
        <v>-4.9224352999999998E-2</v>
      </c>
      <c r="D507" s="237">
        <v>-2.5087822999999999E-2</v>
      </c>
      <c r="E507" s="237">
        <v>-1.7257370000000001E-2</v>
      </c>
      <c r="F507" s="237">
        <v>-0.18054947900000001</v>
      </c>
      <c r="G507" s="191">
        <v>0.46128706380207679</v>
      </c>
      <c r="H507" s="191">
        <v>4.3093058601061336E-2</v>
      </c>
      <c r="I507" s="191">
        <v>0.12178078876475229</v>
      </c>
      <c r="J507" s="191">
        <v>7.7925884448664967E-2</v>
      </c>
      <c r="K507" s="191">
        <v>1.8537828954760974E-2</v>
      </c>
      <c r="L507" s="237">
        <v>6.8498073135316168E-2</v>
      </c>
      <c r="M507" s="237">
        <v>0.11999339541048921</v>
      </c>
      <c r="N507" s="237">
        <v>7.2725644517595001E-2</v>
      </c>
      <c r="O507" s="237">
        <v>9.2440748250854063E-2</v>
      </c>
      <c r="P507" s="237">
        <v>0.19360630327308814</v>
      </c>
      <c r="Q507" s="237">
        <v>7.0786975625797957E-2</v>
      </c>
      <c r="R507" s="237">
        <v>7.0786975625797957E-2</v>
      </c>
      <c r="S507" s="237">
        <v>7.0786975625797957E-2</v>
      </c>
      <c r="T507" s="237">
        <v>7.0786975625797957E-2</v>
      </c>
      <c r="U507" s="237">
        <v>7.0786975625797957E-2</v>
      </c>
      <c r="V507" s="237">
        <v>0</v>
      </c>
      <c r="W507" s="237">
        <v>0</v>
      </c>
      <c r="X507" s="237">
        <v>0</v>
      </c>
      <c r="Y507" s="237">
        <v>0</v>
      </c>
      <c r="Z507" s="237">
        <v>0</v>
      </c>
      <c r="AA507" s="237">
        <v>0.51315756127765833</v>
      </c>
    </row>
    <row r="508" spans="1:27" x14ac:dyDescent="0.35">
      <c r="A508" s="238" t="s">
        <v>331</v>
      </c>
      <c r="B508" s="237">
        <v>4.1836160000000002E-3</v>
      </c>
      <c r="C508" s="237">
        <v>-2.3665476000000001E-2</v>
      </c>
      <c r="D508" s="237">
        <v>-3.1954172000000003E-2</v>
      </c>
      <c r="E508" s="237">
        <v>-5.2349099999999995E-4</v>
      </c>
      <c r="F508" s="237">
        <v>-1.6603732999999999E-2</v>
      </c>
      <c r="G508" s="191">
        <v>0.17303117423193054</v>
      </c>
      <c r="H508" s="191">
        <v>2.1446576044583145E-2</v>
      </c>
      <c r="I508" s="191">
        <v>0.59535196733365403</v>
      </c>
      <c r="J508" s="191">
        <v>9.0797011495621846E-2</v>
      </c>
      <c r="K508" s="191">
        <v>1.6628019140136795E-2</v>
      </c>
      <c r="L508" s="237">
        <v>5.2323116585980961E-2</v>
      </c>
      <c r="M508" s="237">
        <v>0.10613839022383116</v>
      </c>
      <c r="N508" s="237">
        <v>2.7964718271440495E-2</v>
      </c>
      <c r="O508" s="237">
        <v>0.10210121276268763</v>
      </c>
      <c r="P508" s="237">
        <v>0.17509489210676721</v>
      </c>
      <c r="Q508" s="237">
        <v>2.3101871395143931E-2</v>
      </c>
      <c r="R508" s="237">
        <v>2.3101871395143931E-2</v>
      </c>
      <c r="S508" s="237">
        <v>2.3101871395143931E-2</v>
      </c>
      <c r="T508" s="237">
        <v>2.3101871395143931E-2</v>
      </c>
      <c r="U508" s="237">
        <v>2.3101871395143931E-2</v>
      </c>
      <c r="V508" s="237">
        <v>0</v>
      </c>
      <c r="W508" s="237">
        <v>0</v>
      </c>
      <c r="X508" s="237">
        <v>0</v>
      </c>
      <c r="Y508" s="237">
        <v>0</v>
      </c>
      <c r="Z508" s="237">
        <v>0</v>
      </c>
      <c r="AA508" s="237">
        <v>0.8582415145874005</v>
      </c>
    </row>
    <row r="509" spans="1:27" x14ac:dyDescent="0.35">
      <c r="A509" s="238" t="s">
        <v>330</v>
      </c>
      <c r="B509" s="237">
        <v>1.6680829000000001E-2</v>
      </c>
      <c r="C509" s="237">
        <v>-2.4559647E-2</v>
      </c>
      <c r="D509" s="237">
        <v>-2.2199864999999999E-2</v>
      </c>
      <c r="E509" s="237">
        <v>-5.9119782000000003E-2</v>
      </c>
      <c r="F509" s="237">
        <v>1.0557190000000001E-3</v>
      </c>
      <c r="G509" s="191">
        <v>0.45089277838492575</v>
      </c>
      <c r="H509" s="191">
        <v>5.2294498946927247E-2</v>
      </c>
      <c r="I509" s="191">
        <v>0.93735404731980931</v>
      </c>
      <c r="J509" s="191">
        <v>0.88089266060883009</v>
      </c>
      <c r="K509" s="191">
        <v>8.3675370954005082E-2</v>
      </c>
      <c r="L509" s="237">
        <v>9.8132586070503972E-2</v>
      </c>
      <c r="M509" s="237">
        <v>0.16624671184038103</v>
      </c>
      <c r="N509" s="237">
        <v>5.8841206213431627E-2</v>
      </c>
      <c r="O509" s="237">
        <v>7.7489398513219843E-2</v>
      </c>
      <c r="P509" s="237">
        <v>0.14755220683464862</v>
      </c>
      <c r="Q509" s="237">
        <v>5.833652672735283E-2</v>
      </c>
      <c r="R509" s="237">
        <v>5.833652672735283E-2</v>
      </c>
      <c r="S509" s="237">
        <v>5.833652672735283E-2</v>
      </c>
      <c r="T509" s="237">
        <v>5.833652672735283E-2</v>
      </c>
      <c r="U509" s="237">
        <v>5.833652672735283E-2</v>
      </c>
      <c r="V509" s="237">
        <v>0</v>
      </c>
      <c r="W509" s="237">
        <v>0</v>
      </c>
      <c r="X509" s="237">
        <v>0</v>
      </c>
      <c r="Y509" s="237">
        <v>0</v>
      </c>
      <c r="Z509" s="237">
        <v>0</v>
      </c>
      <c r="AA509" s="237">
        <v>2.2845601533181781</v>
      </c>
    </row>
    <row r="510" spans="1:27" x14ac:dyDescent="0.35">
      <c r="A510" s="238" t="s">
        <v>329</v>
      </c>
      <c r="B510" s="237">
        <v>3.4818183000000003E-2</v>
      </c>
      <c r="C510" s="237">
        <v>-4.8360879999999997E-3</v>
      </c>
      <c r="D510" s="237">
        <v>-7.7546099999999997E-4</v>
      </c>
      <c r="E510" s="237">
        <v>1.805028E-3</v>
      </c>
      <c r="F510" s="237">
        <v>-7.2666633999999994E-2</v>
      </c>
      <c r="G510" s="191">
        <v>0.5987198528777099</v>
      </c>
      <c r="H510" s="191">
        <v>8.6218901772324996E-2</v>
      </c>
      <c r="I510" s="191">
        <v>0.85785887021101315</v>
      </c>
      <c r="J510" s="191">
        <v>0.22149602406457594</v>
      </c>
      <c r="K510" s="191">
        <v>7.7283130272049722E-2</v>
      </c>
      <c r="L510" s="237">
        <v>4.9452828326672242E-2</v>
      </c>
      <c r="M510" s="237">
        <v>7.2998059216615271E-2</v>
      </c>
      <c r="N510" s="237">
        <v>2.2511383507780834E-2</v>
      </c>
      <c r="O510" s="237">
        <v>4.2642915828537957E-2</v>
      </c>
      <c r="P510" s="237">
        <v>0.1939820004407298</v>
      </c>
      <c r="Q510" s="237">
        <v>2.3266855016980476E-2</v>
      </c>
      <c r="R510" s="237">
        <v>2.3266855016980476E-2</v>
      </c>
      <c r="S510" s="237">
        <v>2.3266855016980476E-2</v>
      </c>
      <c r="T510" s="237">
        <v>2.3266855016980476E-2</v>
      </c>
      <c r="U510" s="237">
        <v>2.3266855016980476E-2</v>
      </c>
      <c r="V510" s="237">
        <v>0</v>
      </c>
      <c r="W510" s="237">
        <v>0</v>
      </c>
      <c r="X510" s="237">
        <v>0</v>
      </c>
      <c r="Y510" s="237">
        <v>0</v>
      </c>
      <c r="Z510" s="237">
        <v>0</v>
      </c>
      <c r="AA510" s="237">
        <v>1.9859753806227771</v>
      </c>
    </row>
    <row r="511" spans="1:27" x14ac:dyDescent="0.35">
      <c r="A511" s="238" t="s">
        <v>328</v>
      </c>
      <c r="B511" s="237">
        <v>1.1511482E-2</v>
      </c>
      <c r="C511" s="237">
        <v>-2.0928605999999999E-2</v>
      </c>
      <c r="D511" s="237">
        <v>-2.5051004000000002E-2</v>
      </c>
      <c r="E511" s="237">
        <v>-7.1973289999999997E-3</v>
      </c>
      <c r="F511" s="237">
        <v>3.3006236000000001E-2</v>
      </c>
      <c r="G511" s="191">
        <v>0.33902602916666025</v>
      </c>
      <c r="H511" s="191">
        <v>4.8905735335520575E-2</v>
      </c>
      <c r="I511" s="191">
        <v>0.82660471051953577</v>
      </c>
      <c r="J511" s="191">
        <v>0.14134148862063189</v>
      </c>
      <c r="K511" s="191">
        <v>3.3701894426510906E-2</v>
      </c>
      <c r="L511" s="237">
        <v>4.6466413813898655E-2</v>
      </c>
      <c r="M511" s="237">
        <v>9.4296572191958944E-2</v>
      </c>
      <c r="N511" s="237">
        <v>3.1089225201659847E-2</v>
      </c>
      <c r="O511" s="237">
        <v>7.9903459930362658E-2</v>
      </c>
      <c r="P511" s="237">
        <v>0.21421224045319903</v>
      </c>
      <c r="Q511" s="237">
        <v>2.2717824189736634E-2</v>
      </c>
      <c r="R511" s="237">
        <v>2.2717824189736634E-2</v>
      </c>
      <c r="S511" s="237">
        <v>2.2717824189736634E-2</v>
      </c>
      <c r="T511" s="237">
        <v>2.2717824189736634E-2</v>
      </c>
      <c r="U511" s="237">
        <v>2.2717824189736634E-2</v>
      </c>
      <c r="V511" s="237">
        <v>0</v>
      </c>
      <c r="W511" s="237">
        <v>0</v>
      </c>
      <c r="X511" s="237">
        <v>0</v>
      </c>
      <c r="Y511" s="237">
        <v>0</v>
      </c>
      <c r="Z511" s="237">
        <v>0</v>
      </c>
      <c r="AA511" s="237">
        <v>1.4178225791680519</v>
      </c>
    </row>
    <row r="512" spans="1:27" x14ac:dyDescent="0.35">
      <c r="A512" s="238" t="s">
        <v>327</v>
      </c>
      <c r="B512" s="237">
        <v>1.1056513E-2</v>
      </c>
      <c r="C512" s="237">
        <v>-5.7573737999999999E-2</v>
      </c>
      <c r="D512" s="237">
        <v>-1.5042488E-2</v>
      </c>
      <c r="E512" s="237">
        <v>-2.0166224E-2</v>
      </c>
      <c r="F512" s="237">
        <v>-1.3821975E-2</v>
      </c>
      <c r="G512" s="191">
        <v>0.40907994990663921</v>
      </c>
      <c r="H512" s="191">
        <v>9.398520749492556E-2</v>
      </c>
      <c r="I512" s="191">
        <v>0.98112870557456555</v>
      </c>
      <c r="J512" s="191">
        <v>0.19696970570613992</v>
      </c>
      <c r="K512" s="191">
        <v>5.9517841630384559E-2</v>
      </c>
      <c r="L512" s="237">
        <v>4.6018315267855103E-2</v>
      </c>
      <c r="M512" s="237">
        <v>0.13031849038979001</v>
      </c>
      <c r="N512" s="237">
        <v>2.9333756146567212E-2</v>
      </c>
      <c r="O512" s="237">
        <v>6.4701379965013683E-2</v>
      </c>
      <c r="P512" s="237">
        <v>0.35158725194524548</v>
      </c>
      <c r="Q512" s="237">
        <v>2.2800843492701211E-2</v>
      </c>
      <c r="R512" s="237">
        <v>2.2800843492701211E-2</v>
      </c>
      <c r="S512" s="237">
        <v>2.2800843492701211E-2</v>
      </c>
      <c r="T512" s="237">
        <v>2.2800843492701211E-2</v>
      </c>
      <c r="U512" s="237">
        <v>2.2800843492701211E-2</v>
      </c>
      <c r="V512" s="237">
        <v>0</v>
      </c>
      <c r="W512" s="237">
        <v>0</v>
      </c>
      <c r="X512" s="237">
        <v>0</v>
      </c>
      <c r="Y512" s="237">
        <v>0</v>
      </c>
      <c r="Z512" s="237">
        <v>0</v>
      </c>
      <c r="AA512" s="237">
        <v>1.7339001419408819</v>
      </c>
    </row>
    <row r="513" spans="1:27" x14ac:dyDescent="0.35">
      <c r="A513" s="238" t="s">
        <v>326</v>
      </c>
      <c r="B513" s="237">
        <v>0</v>
      </c>
      <c r="C513" s="237">
        <v>0</v>
      </c>
      <c r="D513" s="237">
        <v>0</v>
      </c>
      <c r="E513" s="237">
        <v>0</v>
      </c>
      <c r="F513" s="237">
        <v>0</v>
      </c>
      <c r="G513" s="191">
        <v>0</v>
      </c>
      <c r="H513" s="191">
        <v>0</v>
      </c>
      <c r="I513" s="191">
        <v>0</v>
      </c>
      <c r="J513" s="191">
        <v>0</v>
      </c>
      <c r="K513" s="191">
        <v>0</v>
      </c>
      <c r="L513" s="237">
        <v>0</v>
      </c>
      <c r="M513" s="237">
        <v>0</v>
      </c>
      <c r="N513" s="237">
        <v>0</v>
      </c>
      <c r="O513" s="237">
        <v>0</v>
      </c>
      <c r="P513" s="237">
        <v>0</v>
      </c>
      <c r="Q513" s="237">
        <v>0</v>
      </c>
      <c r="R513" s="237">
        <v>0</v>
      </c>
      <c r="S513" s="237">
        <v>0</v>
      </c>
      <c r="T513" s="237">
        <v>0</v>
      </c>
      <c r="U513" s="237">
        <v>0</v>
      </c>
      <c r="V513" s="237">
        <v>0</v>
      </c>
      <c r="W513" s="237">
        <v>0</v>
      </c>
      <c r="X513" s="237">
        <v>0</v>
      </c>
      <c r="Y513" s="237">
        <v>0</v>
      </c>
      <c r="Z513" s="237">
        <v>0</v>
      </c>
      <c r="AA513" s="237">
        <v>0</v>
      </c>
    </row>
    <row r="514" spans="1:27" x14ac:dyDescent="0.35">
      <c r="A514" s="238" t="s">
        <v>325</v>
      </c>
      <c r="B514" s="237">
        <v>4.8118750000000002E-3</v>
      </c>
      <c r="C514" s="237">
        <v>-4.4665539999999997E-2</v>
      </c>
      <c r="D514" s="237">
        <v>1.057561E-3</v>
      </c>
      <c r="E514" s="237">
        <v>-1.0881798999999999E-2</v>
      </c>
      <c r="F514" s="237">
        <v>-2.1956531000000001E-2</v>
      </c>
      <c r="G514" s="191">
        <v>0.64676242729755273</v>
      </c>
      <c r="H514" s="191">
        <v>0.16979429494789597</v>
      </c>
      <c r="I514" s="191">
        <v>1.6271385692806513</v>
      </c>
      <c r="J514" s="191">
        <v>0.71973566938607958</v>
      </c>
      <c r="K514" s="191">
        <v>1.4943019466598868</v>
      </c>
      <c r="L514" s="237">
        <v>2.4440778833903446E-2</v>
      </c>
      <c r="M514" s="237">
        <v>6.7877949665630738E-2</v>
      </c>
      <c r="N514" s="237">
        <v>2.4036647244376326E-2</v>
      </c>
      <c r="O514" s="237">
        <v>2.3282771462132205E-2</v>
      </c>
      <c r="P514" s="237">
        <v>1.8175580648171687E-2</v>
      </c>
      <c r="Q514" s="237">
        <v>1.1318137022229047E-2</v>
      </c>
      <c r="R514" s="237">
        <v>1.1318137022229047E-2</v>
      </c>
      <c r="S514" s="237">
        <v>1.1318137022229047E-2</v>
      </c>
      <c r="T514" s="237">
        <v>1.1318137022229047E-2</v>
      </c>
      <c r="U514" s="237">
        <v>1.1318137022229047E-2</v>
      </c>
      <c r="V514" s="237">
        <v>0</v>
      </c>
      <c r="W514" s="237">
        <v>0</v>
      </c>
      <c r="X514" s="237">
        <v>0</v>
      </c>
      <c r="Y514" s="237">
        <v>0</v>
      </c>
      <c r="Z514" s="237">
        <v>0</v>
      </c>
      <c r="AA514" s="191">
        <v>4.5486063133724093</v>
      </c>
    </row>
    <row r="515" spans="1:27" ht="15" thickBot="1" x14ac:dyDescent="0.4"/>
    <row r="516" spans="1:27" x14ac:dyDescent="0.35">
      <c r="A516" s="239" t="s">
        <v>372</v>
      </c>
      <c r="B516" s="240"/>
      <c r="C516" s="240">
        <v>1995</v>
      </c>
      <c r="D516" s="240">
        <v>1996</v>
      </c>
      <c r="E516" s="240">
        <v>1997</v>
      </c>
      <c r="F516" s="240">
        <v>1998</v>
      </c>
      <c r="G516" s="240">
        <v>1999</v>
      </c>
      <c r="H516" s="240">
        <v>2000</v>
      </c>
      <c r="I516" s="240">
        <v>2001</v>
      </c>
      <c r="J516" s="240">
        <v>2002</v>
      </c>
      <c r="K516" s="240">
        <v>2003</v>
      </c>
      <c r="L516" s="240">
        <v>2004</v>
      </c>
      <c r="M516" s="240">
        <v>2005</v>
      </c>
      <c r="N516" s="240">
        <v>2006</v>
      </c>
      <c r="O516" s="240">
        <v>2007</v>
      </c>
      <c r="P516" s="241">
        <v>2008</v>
      </c>
      <c r="Q516" s="202">
        <v>2009</v>
      </c>
    </row>
    <row r="517" spans="1:27" x14ac:dyDescent="0.35">
      <c r="A517" s="238" t="s">
        <v>360</v>
      </c>
      <c r="B517" s="238" t="s">
        <v>373</v>
      </c>
      <c r="C517" s="191">
        <v>0.72419714615308606</v>
      </c>
      <c r="D517" s="191">
        <v>0.708925072756311</v>
      </c>
      <c r="E517" s="191">
        <v>0.69981448782002076</v>
      </c>
      <c r="F517" s="191">
        <v>0.67851075605642874</v>
      </c>
      <c r="G517" s="191">
        <v>0.65526008821697912</v>
      </c>
      <c r="H517" s="191">
        <v>0.63156644695314135</v>
      </c>
      <c r="I517" s="191">
        <v>0.6474383043815678</v>
      </c>
      <c r="J517" s="191">
        <v>0.64625559249153941</v>
      </c>
      <c r="K517" s="191">
        <v>0.63621947715341653</v>
      </c>
      <c r="L517" s="191">
        <v>0.62695268996318032</v>
      </c>
      <c r="M517" s="191">
        <v>0.6287197169177513</v>
      </c>
      <c r="N517" s="191">
        <v>0.64944850783744201</v>
      </c>
      <c r="O517" s="191">
        <v>0.67733916744404543</v>
      </c>
      <c r="P517" s="191">
        <v>0.65651917292659712</v>
      </c>
      <c r="Q517" s="242">
        <v>0.67505168902629997</v>
      </c>
    </row>
    <row r="518" spans="1:27" x14ac:dyDescent="0.35">
      <c r="A518" s="238" t="s">
        <v>359</v>
      </c>
      <c r="B518" s="238" t="s">
        <v>373</v>
      </c>
      <c r="C518" s="191">
        <v>1.5634910007468006</v>
      </c>
      <c r="D518" s="191">
        <v>1.5112702035759604</v>
      </c>
      <c r="E518" s="191">
        <v>1.5517158938879816</v>
      </c>
      <c r="F518" s="191">
        <v>1.5754386402885081</v>
      </c>
      <c r="G518" s="191">
        <v>1.4696896640657946</v>
      </c>
      <c r="H518" s="191">
        <v>1.3928937451492078</v>
      </c>
      <c r="I518" s="191">
        <v>1.5000345353002407</v>
      </c>
      <c r="J518" s="191">
        <v>1.5238317127411405</v>
      </c>
      <c r="K518" s="191">
        <v>1.4923776372944797</v>
      </c>
      <c r="L518" s="191">
        <v>1.4713179539606795</v>
      </c>
      <c r="M518" s="191">
        <v>1.4377547101284724</v>
      </c>
      <c r="N518" s="191">
        <v>1.335297206200341</v>
      </c>
      <c r="O518" s="191">
        <v>1.3719554839627304</v>
      </c>
      <c r="P518" s="191">
        <v>1.2042621709362979</v>
      </c>
      <c r="Q518" s="191">
        <v>1.3283417503967039</v>
      </c>
    </row>
    <row r="519" spans="1:27" x14ac:dyDescent="0.35">
      <c r="A519" s="238" t="s">
        <v>358</v>
      </c>
      <c r="B519" s="238" t="s">
        <v>373</v>
      </c>
      <c r="C519" s="191">
        <v>0.38725896834736617</v>
      </c>
      <c r="D519" s="191">
        <v>0.38991463229558976</v>
      </c>
      <c r="E519" s="191">
        <v>0.39101143513263503</v>
      </c>
      <c r="F519" s="191">
        <v>0.39505465054488725</v>
      </c>
      <c r="G519" s="191">
        <v>0.39334192551126118</v>
      </c>
      <c r="H519" s="191">
        <v>0.39994442855817458</v>
      </c>
      <c r="I519" s="191">
        <v>0.4126345462420507</v>
      </c>
      <c r="J519" s="191">
        <v>0.43200313279180014</v>
      </c>
      <c r="K519" s="191">
        <v>0.4299559197047555</v>
      </c>
      <c r="L519" s="191">
        <v>0.42852998768390932</v>
      </c>
      <c r="M519" s="191">
        <v>0.42113855610917716</v>
      </c>
      <c r="N519" s="191">
        <v>0.41406466418672366</v>
      </c>
      <c r="O519" s="191">
        <v>0.41197677903399987</v>
      </c>
      <c r="P519" s="191">
        <v>0.41251967360302194</v>
      </c>
      <c r="Q519" s="191">
        <v>0.41162621691153284</v>
      </c>
    </row>
    <row r="520" spans="1:27" x14ac:dyDescent="0.35">
      <c r="A520" s="238" t="s">
        <v>357</v>
      </c>
      <c r="B520" s="238" t="s">
        <v>373</v>
      </c>
      <c r="C520" s="191">
        <v>0.80985958181236173</v>
      </c>
      <c r="D520" s="191">
        <v>0.78090543149957126</v>
      </c>
      <c r="E520" s="191">
        <v>0.81297695216216215</v>
      </c>
      <c r="F520" s="191">
        <v>0.80818819699774835</v>
      </c>
      <c r="G520" s="191">
        <v>0.78417402054758201</v>
      </c>
      <c r="H520" s="191">
        <v>0.79712387777821436</v>
      </c>
      <c r="I520" s="191">
        <v>0.78830994372143015</v>
      </c>
      <c r="J520" s="191">
        <v>0.77957927020769491</v>
      </c>
      <c r="K520" s="191">
        <v>0.7823568161223905</v>
      </c>
      <c r="L520" s="191">
        <v>0.80968155630701877</v>
      </c>
      <c r="M520" s="191">
        <v>0.77778889647110694</v>
      </c>
      <c r="N520" s="191">
        <v>0.77026500148416444</v>
      </c>
      <c r="O520" s="191">
        <v>0.7564683224583868</v>
      </c>
      <c r="P520" s="191">
        <v>0.70005237282281085</v>
      </c>
      <c r="Q520" s="191">
        <v>0.70240789735129761</v>
      </c>
    </row>
    <row r="521" spans="1:27" x14ac:dyDescent="0.35">
      <c r="A521" s="238" t="s">
        <v>356</v>
      </c>
      <c r="B521" s="238" t="s">
        <v>373</v>
      </c>
      <c r="C521" s="191">
        <v>0.35139111305783044</v>
      </c>
      <c r="D521" s="191">
        <v>0.33316073109134436</v>
      </c>
      <c r="E521" s="191">
        <v>0.33808935659610473</v>
      </c>
      <c r="F521" s="191">
        <v>0.33019114587913417</v>
      </c>
      <c r="G521" s="191">
        <v>0.32742257172175443</v>
      </c>
      <c r="H521" s="191">
        <v>0.33837742660009013</v>
      </c>
      <c r="I521" s="191">
        <v>0.33209290888338849</v>
      </c>
      <c r="J521" s="191">
        <v>0.33770250309350436</v>
      </c>
      <c r="K521" s="191">
        <v>0.33280797545678131</v>
      </c>
      <c r="L521" s="191">
        <v>0.3515074970928847</v>
      </c>
      <c r="M521" s="191">
        <v>0.32595095501665117</v>
      </c>
      <c r="N521" s="191">
        <v>0.31049033160249528</v>
      </c>
      <c r="O521" s="191">
        <v>0.29027356586922193</v>
      </c>
      <c r="P521" s="191">
        <v>0.259192861625059</v>
      </c>
      <c r="Q521" s="191">
        <v>0.25757048727115656</v>
      </c>
    </row>
    <row r="522" spans="1:27" x14ac:dyDescent="0.35">
      <c r="A522" s="238" t="s">
        <v>355</v>
      </c>
      <c r="B522" s="238" t="s">
        <v>373</v>
      </c>
      <c r="C522" s="191">
        <v>0.87290451562874893</v>
      </c>
      <c r="D522" s="191">
        <v>0.88031944653660688</v>
      </c>
      <c r="E522" s="191">
        <v>0.85852160054278326</v>
      </c>
      <c r="F522" s="191">
        <v>0.87327299732402053</v>
      </c>
      <c r="G522" s="191">
        <v>0.86612341913467983</v>
      </c>
      <c r="H522" s="191">
        <v>0.86440246528701747</v>
      </c>
      <c r="I522" s="191">
        <v>0.85795147795577908</v>
      </c>
      <c r="J522" s="191">
        <v>0.8304499897127946</v>
      </c>
      <c r="K522" s="191">
        <v>0.81685595503640496</v>
      </c>
      <c r="L522" s="191">
        <v>0.81152436283954543</v>
      </c>
      <c r="M522" s="191">
        <v>0.68289092259367468</v>
      </c>
      <c r="N522" s="191">
        <v>0.65266723334795129</v>
      </c>
      <c r="O522" s="191">
        <v>0.65850959838310685</v>
      </c>
      <c r="P522" s="191">
        <v>0.68167732816398185</v>
      </c>
      <c r="Q522" s="191">
        <v>0.67778379323133708</v>
      </c>
    </row>
    <row r="523" spans="1:27" x14ac:dyDescent="0.35">
      <c r="A523" s="238" t="s">
        <v>354</v>
      </c>
      <c r="B523" s="238" t="s">
        <v>373</v>
      </c>
      <c r="C523" s="191">
        <v>1.2263768378705506</v>
      </c>
      <c r="D523" s="191">
        <v>1.2144155296983012</v>
      </c>
      <c r="E523" s="191">
        <v>1.197934329105796</v>
      </c>
      <c r="F523" s="191">
        <v>1.1843906699350251</v>
      </c>
      <c r="G523" s="191">
        <v>1.1712966433885488</v>
      </c>
      <c r="H523" s="191">
        <v>1.1699974714807131</v>
      </c>
      <c r="I523" s="191">
        <v>1.1966292361936643</v>
      </c>
      <c r="J523" s="191">
        <v>1.1999943104244262</v>
      </c>
      <c r="K523" s="191">
        <v>1.2203385654272842</v>
      </c>
      <c r="L523" s="191">
        <v>1.2225810264380397</v>
      </c>
      <c r="M523" s="191">
        <v>1.1766825924595492</v>
      </c>
      <c r="N523" s="191">
        <v>1.1650724058722093</v>
      </c>
      <c r="O523" s="191">
        <v>1.1133423207226474</v>
      </c>
      <c r="P523" s="191">
        <v>1.0869767100370342</v>
      </c>
      <c r="Q523" s="191">
        <v>1.0676209273986548</v>
      </c>
    </row>
    <row r="524" spans="1:27" x14ac:dyDescent="0.35">
      <c r="A524" s="238" t="s">
        <v>353</v>
      </c>
      <c r="B524" s="238" t="s">
        <v>373</v>
      </c>
      <c r="C524" s="191">
        <v>0.91655574106847815</v>
      </c>
      <c r="D524" s="191">
        <v>0.93580001160191262</v>
      </c>
      <c r="E524" s="191">
        <v>0.92438411642044072</v>
      </c>
      <c r="F524" s="191">
        <v>0.89533066356226909</v>
      </c>
      <c r="G524" s="191">
        <v>0.86644404657581908</v>
      </c>
      <c r="H524" s="191">
        <v>0.91350664494398548</v>
      </c>
      <c r="I524" s="191">
        <v>0.94127708822582734</v>
      </c>
      <c r="J524" s="191">
        <v>0.93607528746022739</v>
      </c>
      <c r="K524" s="191">
        <v>0.88277078752904115</v>
      </c>
      <c r="L524" s="191">
        <v>0.85659535671275322</v>
      </c>
      <c r="M524" s="191">
        <v>0.79480334871660729</v>
      </c>
      <c r="N524" s="191">
        <v>0.74131716433994932</v>
      </c>
      <c r="O524" s="191">
        <v>0.76373289423321689</v>
      </c>
      <c r="P524" s="191">
        <v>0.60644519326085344</v>
      </c>
      <c r="Q524" s="191">
        <v>0.70691238700271819</v>
      </c>
    </row>
    <row r="525" spans="1:27" x14ac:dyDescent="0.35">
      <c r="A525" s="238" t="s">
        <v>352</v>
      </c>
      <c r="B525" s="238" t="s">
        <v>373</v>
      </c>
      <c r="C525" s="191">
        <v>1.803552955165638</v>
      </c>
      <c r="D525" s="191">
        <v>1.8308315315621162</v>
      </c>
      <c r="E525" s="191">
        <v>1.7496041241839269</v>
      </c>
      <c r="F525" s="191">
        <v>1.6452475708012788</v>
      </c>
      <c r="G525" s="191">
        <v>1.6101830348922872</v>
      </c>
      <c r="H525" s="191">
        <v>1.666450341608775</v>
      </c>
      <c r="I525" s="191">
        <v>1.6611052910033846</v>
      </c>
      <c r="J525" s="191">
        <v>1.6204107698126002</v>
      </c>
      <c r="K525" s="191">
        <v>1.6443414744184659</v>
      </c>
      <c r="L525" s="191">
        <v>1.6483042729285202</v>
      </c>
      <c r="M525" s="191">
        <v>1.6666473381010591</v>
      </c>
      <c r="N525" s="191">
        <v>1.6106763308171923</v>
      </c>
      <c r="O525" s="191">
        <v>1.558536120192618</v>
      </c>
      <c r="P525" s="191">
        <v>1.5213063144943828</v>
      </c>
      <c r="Q525" s="191">
        <v>1.5145997482850271</v>
      </c>
    </row>
    <row r="526" spans="1:27" x14ac:dyDescent="0.35">
      <c r="A526" s="238" t="s">
        <v>351</v>
      </c>
      <c r="B526" s="238" t="s">
        <v>373</v>
      </c>
      <c r="C526" s="191">
        <v>1.7516755152937544</v>
      </c>
      <c r="D526" s="191">
        <v>1.8245744939371831</v>
      </c>
      <c r="E526" s="191">
        <v>1.7920601389627309</v>
      </c>
      <c r="F526" s="191">
        <v>1.8067289091982912</v>
      </c>
      <c r="G526" s="191">
        <v>1.8795825516807279</v>
      </c>
      <c r="H526" s="191">
        <v>1.8435548709997704</v>
      </c>
      <c r="I526" s="191">
        <v>1.7842275613004739</v>
      </c>
      <c r="J526" s="191">
        <v>1.845080435538212</v>
      </c>
      <c r="K526" s="191">
        <v>1.6730108764548752</v>
      </c>
      <c r="L526" s="191">
        <v>1.6424496581101529</v>
      </c>
      <c r="M526" s="191">
        <v>1.7862606136200592</v>
      </c>
      <c r="N526" s="191">
        <v>1.7064081594264691</v>
      </c>
      <c r="O526" s="191">
        <v>1.6649464780881742</v>
      </c>
      <c r="P526" s="191">
        <v>1.6942052186029162</v>
      </c>
      <c r="Q526" s="191">
        <v>1.7361101430096244</v>
      </c>
    </row>
    <row r="527" spans="1:27" x14ac:dyDescent="0.35">
      <c r="A527" s="238" t="s">
        <v>350</v>
      </c>
      <c r="B527" s="238" t="s">
        <v>373</v>
      </c>
      <c r="C527" s="191">
        <v>1.6010029593093376</v>
      </c>
      <c r="D527" s="191">
        <v>1.5932256091723684</v>
      </c>
      <c r="E527" s="191">
        <v>1.5699087462270658</v>
      </c>
      <c r="F527" s="191">
        <v>1.5672520333522502</v>
      </c>
      <c r="G527" s="191">
        <v>1.5615298108178137</v>
      </c>
      <c r="H527" s="191">
        <v>1.5763580385094531</v>
      </c>
      <c r="I527" s="191">
        <v>1.6431319189067426</v>
      </c>
      <c r="J527" s="191">
        <v>1.6958319558465424</v>
      </c>
      <c r="K527" s="191">
        <v>1.7255318447745254</v>
      </c>
      <c r="L527" s="191">
        <v>1.7461744142710622</v>
      </c>
      <c r="M527" s="191">
        <v>1.7654612366537779</v>
      </c>
      <c r="N527" s="191">
        <v>1.791817576209471</v>
      </c>
      <c r="O527" s="191">
        <v>1.770131164494374</v>
      </c>
      <c r="P527" s="191">
        <v>1.7843191585377649</v>
      </c>
      <c r="Q527" s="191">
        <v>1.9519753682288368</v>
      </c>
    </row>
    <row r="528" spans="1:27" x14ac:dyDescent="0.35">
      <c r="A528" s="238" t="s">
        <v>349</v>
      </c>
      <c r="B528" s="238" t="s">
        <v>373</v>
      </c>
      <c r="C528" s="191">
        <v>1.9776155903879076</v>
      </c>
      <c r="D528" s="191">
        <v>1.9392195301196662</v>
      </c>
      <c r="E528" s="191">
        <v>1.9215450030205303</v>
      </c>
      <c r="F528" s="191">
        <v>1.9122783844372382</v>
      </c>
      <c r="G528" s="191">
        <v>1.9291182058647789</v>
      </c>
      <c r="H528" s="191">
        <v>1.9815693703488377</v>
      </c>
      <c r="I528" s="191">
        <v>2.0099444792954122</v>
      </c>
      <c r="J528" s="191">
        <v>2.0751315351731172</v>
      </c>
      <c r="K528" s="191">
        <v>2.1513151629091998</v>
      </c>
      <c r="L528" s="191">
        <v>2.218317981076714</v>
      </c>
      <c r="M528" s="191">
        <v>2.1999457440729291</v>
      </c>
      <c r="N528" s="191">
        <v>2.1837851333195899</v>
      </c>
      <c r="O528" s="191">
        <v>2.2290229109356408</v>
      </c>
      <c r="P528" s="191">
        <v>2.2307079585422769</v>
      </c>
      <c r="Q528" s="191">
        <v>2.1948024460231101</v>
      </c>
    </row>
    <row r="529" spans="1:17" x14ac:dyDescent="0.35">
      <c r="A529" s="238" t="s">
        <v>348</v>
      </c>
      <c r="B529" s="238" t="s">
        <v>373</v>
      </c>
      <c r="C529" s="191">
        <v>0.38497878559139365</v>
      </c>
      <c r="D529" s="191">
        <v>0.35615480578987752</v>
      </c>
      <c r="E529" s="191">
        <v>0.3415291275971809</v>
      </c>
      <c r="F529" s="191">
        <v>0.3427851610972068</v>
      </c>
      <c r="G529" s="191">
        <v>0.34374870228435711</v>
      </c>
      <c r="H529" s="191">
        <v>0.3419753064945743</v>
      </c>
      <c r="I529" s="191">
        <v>0.35169106407376499</v>
      </c>
      <c r="J529" s="191">
        <v>0.36753869070385942</v>
      </c>
      <c r="K529" s="191">
        <v>0.35548273369704481</v>
      </c>
      <c r="L529" s="191">
        <v>0.33812308328807072</v>
      </c>
      <c r="M529" s="191">
        <v>0.31326259549501861</v>
      </c>
      <c r="N529" s="191">
        <v>0.29680542540276539</v>
      </c>
      <c r="O529" s="191">
        <v>0.28813036805786002</v>
      </c>
      <c r="P529" s="191">
        <v>0.28864526366758492</v>
      </c>
      <c r="Q529" s="191">
        <v>0.32409542919292395</v>
      </c>
    </row>
    <row r="530" spans="1:17" x14ac:dyDescent="0.35">
      <c r="A530" s="238" t="s">
        <v>347</v>
      </c>
      <c r="B530" s="238" t="s">
        <v>373</v>
      </c>
      <c r="C530" s="191">
        <v>0.38811218358014432</v>
      </c>
      <c r="D530" s="191">
        <v>0.37575844467622455</v>
      </c>
      <c r="E530" s="191">
        <v>0.35774634718219034</v>
      </c>
      <c r="F530" s="191">
        <v>0.34943354468767224</v>
      </c>
      <c r="G530" s="191">
        <v>0.34381343331070224</v>
      </c>
      <c r="H530" s="191">
        <v>0.31127189820592088</v>
      </c>
      <c r="I530" s="191">
        <v>0.30223301921643114</v>
      </c>
      <c r="J530" s="191">
        <v>0.2984296037773112</v>
      </c>
      <c r="K530" s="191">
        <v>0.27944000853599849</v>
      </c>
      <c r="L530" s="191">
        <v>0.26010782570612889</v>
      </c>
      <c r="M530" s="191">
        <v>0.24895235432425467</v>
      </c>
      <c r="N530" s="191">
        <v>0.23047562719826115</v>
      </c>
      <c r="O530" s="191">
        <v>0.21963169187652951</v>
      </c>
      <c r="P530" s="191">
        <v>0.2080015981423694</v>
      </c>
      <c r="Q530" s="191">
        <v>0.21658242383320356</v>
      </c>
    </row>
    <row r="531" spans="1:17" x14ac:dyDescent="0.35">
      <c r="A531" s="238" t="s">
        <v>346</v>
      </c>
      <c r="B531" s="238" t="s">
        <v>373</v>
      </c>
      <c r="C531" s="191">
        <v>0.29157175769801413</v>
      </c>
      <c r="D531" s="191">
        <v>0.2932733502579648</v>
      </c>
      <c r="E531" s="191">
        <v>0.28650090214574059</v>
      </c>
      <c r="F531" s="191">
        <v>0.28318178927285437</v>
      </c>
      <c r="G531" s="191">
        <v>0.27085203503960043</v>
      </c>
      <c r="H531" s="191">
        <v>0.30565910453790252</v>
      </c>
      <c r="I531" s="191">
        <v>0.30542284485819216</v>
      </c>
      <c r="J531" s="191">
        <v>0.29398259695097539</v>
      </c>
      <c r="K531" s="191">
        <v>0.28617790217296413</v>
      </c>
      <c r="L531" s="191">
        <v>0.29325792382885779</v>
      </c>
      <c r="M531" s="191">
        <v>0.26602536568644769</v>
      </c>
      <c r="N531" s="191">
        <v>0.25237194033051469</v>
      </c>
      <c r="O531" s="191">
        <v>0.23683425921684204</v>
      </c>
      <c r="P531" s="191">
        <v>0.2378185951613391</v>
      </c>
      <c r="Q531" s="191">
        <v>0.26199150808256366</v>
      </c>
    </row>
    <row r="532" spans="1:17" x14ac:dyDescent="0.35">
      <c r="A532" s="238" t="s">
        <v>345</v>
      </c>
      <c r="B532" s="238" t="s">
        <v>373</v>
      </c>
      <c r="C532" s="191">
        <v>0.85691697614655726</v>
      </c>
      <c r="D532" s="191">
        <v>0.86943487049507273</v>
      </c>
      <c r="E532" s="191">
        <v>0.88180255936485652</v>
      </c>
      <c r="F532" s="191">
        <v>0.90965027512613561</v>
      </c>
      <c r="G532" s="191">
        <v>0.87250654407254635</v>
      </c>
      <c r="H532" s="191">
        <v>0.80440030605243862</v>
      </c>
      <c r="I532" s="191">
        <v>0.76873213087912151</v>
      </c>
      <c r="J532" s="191">
        <v>0.83063928874458393</v>
      </c>
      <c r="K532" s="191">
        <v>0.75008529317492434</v>
      </c>
      <c r="L532" s="191">
        <v>0.7215141505939332</v>
      </c>
      <c r="M532" s="191">
        <v>0.79225870226421558</v>
      </c>
      <c r="N532" s="191">
        <v>0.78225128567759961</v>
      </c>
      <c r="O532" s="191">
        <v>0.71532549596080575</v>
      </c>
      <c r="P532" s="191">
        <v>0.81496493971050499</v>
      </c>
      <c r="Q532" s="191">
        <v>0.81707391062710322</v>
      </c>
    </row>
    <row r="533" spans="1:17" x14ac:dyDescent="0.35">
      <c r="A533" s="238" t="s">
        <v>344</v>
      </c>
      <c r="B533" s="238" t="s">
        <v>373</v>
      </c>
      <c r="C533" s="191">
        <v>2.6240585151440134</v>
      </c>
      <c r="D533" s="191">
        <v>2.5827547952978684</v>
      </c>
      <c r="E533" s="191">
        <v>2.6980829723166853</v>
      </c>
      <c r="F533" s="191">
        <v>2.6792657225987164</v>
      </c>
      <c r="G533" s="191">
        <v>2.6552380668911906</v>
      </c>
      <c r="H533" s="191">
        <v>2.6264867297696766</v>
      </c>
      <c r="I533" s="191">
        <v>2.3332476215239861</v>
      </c>
      <c r="J533" s="191">
        <v>2.5314112882795596</v>
      </c>
      <c r="K533" s="191">
        <v>2.6796686533460341</v>
      </c>
      <c r="L533" s="191">
        <v>2.6745633298685774</v>
      </c>
      <c r="M533" s="191">
        <v>2.6329365375141487</v>
      </c>
      <c r="N533" s="191">
        <v>2.7085624351709545</v>
      </c>
      <c r="O533" s="191">
        <v>2.6564387303091666</v>
      </c>
      <c r="P533" s="191">
        <v>2.5810280668207151</v>
      </c>
      <c r="Q533" s="191">
        <v>2.8574728837212615</v>
      </c>
    </row>
    <row r="534" spans="1:17" x14ac:dyDescent="0.35">
      <c r="A534" s="238" t="s">
        <v>343</v>
      </c>
      <c r="B534" s="238" t="s">
        <v>373</v>
      </c>
      <c r="C534" s="191">
        <v>0.10596936611626993</v>
      </c>
      <c r="D534" s="191">
        <v>0.11752002197397564</v>
      </c>
      <c r="E534" s="191">
        <v>0.10637076833546745</v>
      </c>
      <c r="F534" s="191">
        <v>0.11940080040308412</v>
      </c>
      <c r="G534" s="191">
        <v>0.1244365089556424</v>
      </c>
      <c r="H534" s="191">
        <v>0.11581265842963812</v>
      </c>
      <c r="I534" s="191">
        <v>9.7679880131886984E-2</v>
      </c>
      <c r="J534" s="191">
        <v>0.10694419521117998</v>
      </c>
      <c r="K534" s="191">
        <v>7.5640179086348472E-2</v>
      </c>
      <c r="L534" s="191">
        <v>7.9647155232703562E-2</v>
      </c>
      <c r="M534" s="191">
        <v>7.9818401071554176E-2</v>
      </c>
      <c r="N534" s="191">
        <v>8.1441625093287229E-2</v>
      </c>
      <c r="O534" s="191">
        <v>8.6406968826049743E-2</v>
      </c>
      <c r="P534" s="191">
        <v>9.5711640578712801E-2</v>
      </c>
      <c r="Q534" s="191">
        <v>0.10473826892065874</v>
      </c>
    </row>
    <row r="535" spans="1:17" x14ac:dyDescent="0.35">
      <c r="A535" s="238" t="s">
        <v>342</v>
      </c>
      <c r="B535" s="238" t="s">
        <v>373</v>
      </c>
      <c r="C535" s="191">
        <v>0.29023907436985996</v>
      </c>
      <c r="D535" s="191">
        <v>0.29546092453914086</v>
      </c>
      <c r="E535" s="191">
        <v>0.29982259435817693</v>
      </c>
      <c r="F535" s="191">
        <v>0.29852751039031311</v>
      </c>
      <c r="G535" s="191">
        <v>0.29392740007325285</v>
      </c>
      <c r="H535" s="191">
        <v>0.27164651402310047</v>
      </c>
      <c r="I535" s="191">
        <v>0.29919715620305803</v>
      </c>
      <c r="J535" s="191">
        <v>0.29144744783724319</v>
      </c>
      <c r="K535" s="191">
        <v>0.30414212771064614</v>
      </c>
      <c r="L535" s="191">
        <v>0.29680981845439275</v>
      </c>
      <c r="M535" s="191">
        <v>0.27965689364716184</v>
      </c>
      <c r="N535" s="191">
        <v>0.28516044867819579</v>
      </c>
      <c r="O535" s="191">
        <v>0.28769779381990968</v>
      </c>
      <c r="P535" s="191">
        <v>0.30285840159026289</v>
      </c>
      <c r="Q535" s="191">
        <v>0.3180725318361754</v>
      </c>
    </row>
    <row r="536" spans="1:17" x14ac:dyDescent="0.35">
      <c r="A536" s="238" t="s">
        <v>341</v>
      </c>
      <c r="B536" s="238" t="s">
        <v>373</v>
      </c>
      <c r="C536" s="191">
        <v>0.19819158488103156</v>
      </c>
      <c r="D536" s="191">
        <v>0.19889846952514431</v>
      </c>
      <c r="E536" s="191">
        <v>0.1902452549651085</v>
      </c>
      <c r="F536" s="191">
        <v>0.19114253279138624</v>
      </c>
      <c r="G536" s="191">
        <v>0.20230726292600698</v>
      </c>
      <c r="H536" s="191">
        <v>0.20364517363751936</v>
      </c>
      <c r="I536" s="191">
        <v>0.20459780243338735</v>
      </c>
      <c r="J536" s="191">
        <v>0.21415082222077816</v>
      </c>
      <c r="K536" s="191">
        <v>0.2131461017021144</v>
      </c>
      <c r="L536" s="191">
        <v>0.20730361126352889</v>
      </c>
      <c r="M536" s="191">
        <v>0.20399321708074358</v>
      </c>
      <c r="N536" s="191">
        <v>0.20639263406148797</v>
      </c>
      <c r="O536" s="191">
        <v>0.20941044634889908</v>
      </c>
      <c r="P536" s="191">
        <v>0.22317011916600307</v>
      </c>
      <c r="Q536" s="191">
        <v>0.19985183045602822</v>
      </c>
    </row>
    <row r="537" spans="1:17" x14ac:dyDescent="0.35">
      <c r="A537" s="238" t="s">
        <v>340</v>
      </c>
      <c r="B537" s="238" t="s">
        <v>373</v>
      </c>
      <c r="C537" s="191">
        <v>0.49852024433364905</v>
      </c>
      <c r="D537" s="191">
        <v>0.49076619915037845</v>
      </c>
      <c r="E537" s="191">
        <v>0.4876463096311946</v>
      </c>
      <c r="F537" s="191">
        <v>0.48853974638903147</v>
      </c>
      <c r="G537" s="191">
        <v>0.50911778008929254</v>
      </c>
      <c r="H537" s="191">
        <v>0.48736749007838071</v>
      </c>
      <c r="I537" s="191">
        <v>0.48477778575155234</v>
      </c>
      <c r="J537" s="191">
        <v>0.49413782382381477</v>
      </c>
      <c r="K537" s="191">
        <v>0.50217734836469419</v>
      </c>
      <c r="L537" s="191">
        <v>0.50710924939826707</v>
      </c>
      <c r="M537" s="191">
        <v>0.47008904095609366</v>
      </c>
      <c r="N537" s="191">
        <v>0.46117943887494817</v>
      </c>
      <c r="O537" s="191">
        <v>0.48198387270778725</v>
      </c>
      <c r="P537" s="191">
        <v>0.50493211580976083</v>
      </c>
      <c r="Q537" s="191">
        <v>0.47628496738666654</v>
      </c>
    </row>
    <row r="538" spans="1:17" x14ac:dyDescent="0.35">
      <c r="A538" s="238" t="s">
        <v>339</v>
      </c>
      <c r="B538" s="238" t="s">
        <v>373</v>
      </c>
      <c r="C538" s="191">
        <v>0.63162597435794787</v>
      </c>
      <c r="D538" s="191">
        <v>0.62289227593569751</v>
      </c>
      <c r="E538" s="191">
        <v>0.64090518757569825</v>
      </c>
      <c r="F538" s="191">
        <v>0.63495206909612156</v>
      </c>
      <c r="G538" s="191">
        <v>0.63132619768021991</v>
      </c>
      <c r="H538" s="191">
        <v>0.65102932948810399</v>
      </c>
      <c r="I538" s="191">
        <v>0.67366449012633589</v>
      </c>
      <c r="J538" s="191">
        <v>0.70272139181992477</v>
      </c>
      <c r="K538" s="191">
        <v>0.71927480134163024</v>
      </c>
      <c r="L538" s="191">
        <v>0.69268177494244632</v>
      </c>
      <c r="M538" s="191">
        <v>0.69758651463630739</v>
      </c>
      <c r="N538" s="191">
        <v>0.72031970009455382</v>
      </c>
      <c r="O538" s="191">
        <v>0.73925324352376465</v>
      </c>
      <c r="P538" s="191">
        <v>0.79563552555677375</v>
      </c>
      <c r="Q538" s="191">
        <v>0.81623406851246727</v>
      </c>
    </row>
    <row r="539" spans="1:17" x14ac:dyDescent="0.35">
      <c r="A539" s="238" t="s">
        <v>338</v>
      </c>
      <c r="B539" s="238" t="s">
        <v>373</v>
      </c>
      <c r="C539" s="191">
        <v>0.44834520623770241</v>
      </c>
      <c r="D539" s="191">
        <v>0.45286590216598044</v>
      </c>
      <c r="E539" s="191">
        <v>0.44514641255185178</v>
      </c>
      <c r="F539" s="191">
        <v>0.4250024788940665</v>
      </c>
      <c r="G539" s="191">
        <v>0.41169122950481013</v>
      </c>
      <c r="H539" s="191">
        <v>0.42628610536910089</v>
      </c>
      <c r="I539" s="191">
        <v>0.41922922848790772</v>
      </c>
      <c r="J539" s="191">
        <v>0.43228626831928468</v>
      </c>
      <c r="K539" s="191">
        <v>0.44932075861220566</v>
      </c>
      <c r="L539" s="191">
        <v>0.44433341086508094</v>
      </c>
      <c r="M539" s="191">
        <v>0.42814418035587165</v>
      </c>
      <c r="N539" s="191">
        <v>0.41826800089276672</v>
      </c>
      <c r="O539" s="191">
        <v>0.417896236209432</v>
      </c>
      <c r="P539" s="191">
        <v>0.40666224043170296</v>
      </c>
      <c r="Q539" s="191">
        <v>0.42698523818255202</v>
      </c>
    </row>
    <row r="540" spans="1:17" x14ac:dyDescent="0.35">
      <c r="A540" s="238" t="s">
        <v>337</v>
      </c>
      <c r="B540" s="238" t="s">
        <v>373</v>
      </c>
      <c r="C540" s="191">
        <v>0</v>
      </c>
      <c r="D540" s="191">
        <v>0</v>
      </c>
      <c r="E540" s="191">
        <v>0</v>
      </c>
      <c r="F540" s="191">
        <v>0</v>
      </c>
      <c r="G540" s="191">
        <v>0</v>
      </c>
      <c r="H540" s="191">
        <v>0</v>
      </c>
      <c r="I540" s="191">
        <v>0</v>
      </c>
      <c r="J540" s="191">
        <v>0</v>
      </c>
      <c r="K540" s="191">
        <v>0</v>
      </c>
      <c r="L540" s="191">
        <v>0</v>
      </c>
      <c r="M540" s="191">
        <v>0</v>
      </c>
      <c r="N540" s="191">
        <v>0</v>
      </c>
      <c r="O540" s="191">
        <v>0</v>
      </c>
      <c r="P540" s="191">
        <v>0</v>
      </c>
      <c r="Q540" s="191">
        <v>1.796435777226835E-5</v>
      </c>
    </row>
    <row r="541" spans="1:17" x14ac:dyDescent="0.35">
      <c r="A541" s="238" t="s">
        <v>336</v>
      </c>
      <c r="B541" s="238" t="s">
        <v>373</v>
      </c>
      <c r="C541" s="191">
        <v>0</v>
      </c>
      <c r="D541" s="191">
        <v>0</v>
      </c>
      <c r="E541" s="191">
        <v>0</v>
      </c>
      <c r="F541" s="191">
        <v>0</v>
      </c>
      <c r="G541" s="191">
        <v>0</v>
      </c>
      <c r="H541" s="191">
        <v>0</v>
      </c>
      <c r="I541" s="191">
        <v>0</v>
      </c>
      <c r="J541" s="191">
        <v>0</v>
      </c>
      <c r="K541" s="191">
        <v>0</v>
      </c>
      <c r="L541" s="191">
        <v>0</v>
      </c>
      <c r="M541" s="191">
        <v>0</v>
      </c>
      <c r="N541" s="191">
        <v>0</v>
      </c>
      <c r="O541" s="191">
        <v>0</v>
      </c>
      <c r="P541" s="191">
        <v>0</v>
      </c>
      <c r="Q541" s="191">
        <v>0</v>
      </c>
    </row>
    <row r="542" spans="1:17" x14ac:dyDescent="0.35">
      <c r="A542" s="238" t="s">
        <v>335</v>
      </c>
      <c r="B542" s="238" t="s">
        <v>373</v>
      </c>
      <c r="C542" s="191">
        <v>0.33512509824164721</v>
      </c>
      <c r="D542" s="191">
        <v>0.31720178601900523</v>
      </c>
      <c r="E542" s="191">
        <v>0.31166535903931797</v>
      </c>
      <c r="F542" s="191">
        <v>0.31226414570708161</v>
      </c>
      <c r="G542" s="191">
        <v>0.31651534903017065</v>
      </c>
      <c r="H542" s="191">
        <v>0.31346968682389725</v>
      </c>
      <c r="I542" s="191">
        <v>0.33673787032346458</v>
      </c>
      <c r="J542" s="191">
        <v>0.35858163444702068</v>
      </c>
      <c r="K542" s="191">
        <v>0.36260875844326101</v>
      </c>
      <c r="L542" s="191">
        <v>0.32588875644847792</v>
      </c>
      <c r="M542" s="191">
        <v>0.32369825391559337</v>
      </c>
      <c r="N542" s="191">
        <v>0.34291227811620162</v>
      </c>
      <c r="O542" s="191">
        <v>0.34423267065941282</v>
      </c>
      <c r="P542" s="191">
        <v>0.36049764467512002</v>
      </c>
      <c r="Q542" s="191">
        <v>0.38538781727246102</v>
      </c>
    </row>
    <row r="543" spans="1:17" x14ac:dyDescent="0.35">
      <c r="A543" s="238" t="s">
        <v>334</v>
      </c>
      <c r="B543" s="238" t="s">
        <v>373</v>
      </c>
      <c r="C543" s="191">
        <v>0.21424532484279149</v>
      </c>
      <c r="D543" s="191">
        <v>0.21499985706883995</v>
      </c>
      <c r="E543" s="191">
        <v>0.22267555471748215</v>
      </c>
      <c r="F543" s="191">
        <v>0.21380570808085655</v>
      </c>
      <c r="G543" s="191">
        <v>0.21358389938913094</v>
      </c>
      <c r="H543" s="191">
        <v>0.22572066945040173</v>
      </c>
      <c r="I543" s="191">
        <v>0.23543921322671155</v>
      </c>
      <c r="J543" s="191">
        <v>0.25414285942284653</v>
      </c>
      <c r="K543" s="191">
        <v>0.27141218788839566</v>
      </c>
      <c r="L543" s="191">
        <v>0.26605874009786207</v>
      </c>
      <c r="M543" s="191">
        <v>0.2603283205745559</v>
      </c>
      <c r="N543" s="191">
        <v>0.26302026795246414</v>
      </c>
      <c r="O543" s="191">
        <v>0.25757215250376087</v>
      </c>
      <c r="P543" s="191">
        <v>0.2678675035433738</v>
      </c>
      <c r="Q543" s="191">
        <v>0.26002566357274598</v>
      </c>
    </row>
    <row r="544" spans="1:17" x14ac:dyDescent="0.35">
      <c r="A544" s="238" t="s">
        <v>333</v>
      </c>
      <c r="B544" s="238" t="s">
        <v>373</v>
      </c>
      <c r="C544" s="191">
        <v>0.13571294444446949</v>
      </c>
      <c r="D544" s="191">
        <v>0.13350259862648389</v>
      </c>
      <c r="E544" s="191">
        <v>0.13347355787905524</v>
      </c>
      <c r="F544" s="191">
        <v>0.13530342504336876</v>
      </c>
      <c r="G544" s="191">
        <v>0.13323985162618779</v>
      </c>
      <c r="H544" s="191">
        <v>0.13077685809779627</v>
      </c>
      <c r="I544" s="191">
        <v>0.11743851754411798</v>
      </c>
      <c r="J544" s="191">
        <v>0.1160974931940181</v>
      </c>
      <c r="K544" s="191">
        <v>0.12211180403401836</v>
      </c>
      <c r="L544" s="191">
        <v>0.12151574900706145</v>
      </c>
      <c r="M544" s="191">
        <v>0.1160599929351302</v>
      </c>
      <c r="N544" s="191">
        <v>0.10825026748583594</v>
      </c>
      <c r="O544" s="191">
        <v>0.12733023068901661</v>
      </c>
      <c r="P544" s="191">
        <v>0.13839558030319435</v>
      </c>
      <c r="Q544" s="191">
        <v>0.13140905607447551</v>
      </c>
    </row>
    <row r="545" spans="1:17" x14ac:dyDescent="0.35">
      <c r="A545" s="238" t="s">
        <v>332</v>
      </c>
      <c r="B545" s="238" t="s">
        <v>373</v>
      </c>
      <c r="C545" s="191">
        <v>0.31331706620363864</v>
      </c>
      <c r="D545" s="191">
        <v>0.32658248671868062</v>
      </c>
      <c r="E545" s="191">
        <v>0.32710857314236541</v>
      </c>
      <c r="F545" s="191">
        <v>0.3272119796580536</v>
      </c>
      <c r="G545" s="191">
        <v>0.30490793438575542</v>
      </c>
      <c r="H545" s="191">
        <v>0.34668510225460092</v>
      </c>
      <c r="I545" s="191">
        <v>0.34590615723305002</v>
      </c>
      <c r="J545" s="191">
        <v>0.34486158796223793</v>
      </c>
      <c r="K545" s="191">
        <v>0.34449325697322003</v>
      </c>
      <c r="L545" s="191">
        <v>0.41202476075785938</v>
      </c>
      <c r="M545" s="191">
        <v>0.46128706380207679</v>
      </c>
      <c r="N545" s="191">
        <v>0.44249420591889072</v>
      </c>
      <c r="O545" s="191">
        <v>0.30339821025984109</v>
      </c>
      <c r="P545" s="191">
        <v>0.23581865395159607</v>
      </c>
      <c r="Q545" s="191">
        <v>0.27833046224886804</v>
      </c>
    </row>
    <row r="546" spans="1:17" x14ac:dyDescent="0.35">
      <c r="A546" s="238" t="s">
        <v>331</v>
      </c>
      <c r="B546" s="238" t="s">
        <v>373</v>
      </c>
      <c r="C546" s="191">
        <v>0.18155751478579876</v>
      </c>
      <c r="D546" s="191">
        <v>0.18895369439380297</v>
      </c>
      <c r="E546" s="191">
        <v>0.19178458766740181</v>
      </c>
      <c r="F546" s="191">
        <v>0.19816334008250425</v>
      </c>
      <c r="G546" s="191">
        <v>0.19857039813316948</v>
      </c>
      <c r="H546" s="191">
        <v>0.19133127080498419</v>
      </c>
      <c r="I546" s="191">
        <v>0.18326721091232706</v>
      </c>
      <c r="J546" s="191">
        <v>0.17244465134086473</v>
      </c>
      <c r="K546" s="191">
        <v>0.17894389359752372</v>
      </c>
      <c r="L546" s="191">
        <v>0.17355814915740955</v>
      </c>
      <c r="M546" s="191">
        <v>0.17303117423193054</v>
      </c>
      <c r="N546" s="191">
        <v>0.1690768138532979</v>
      </c>
      <c r="O546" s="191">
        <v>0.18005979606460235</v>
      </c>
      <c r="P546" s="191">
        <v>0.18671243674251325</v>
      </c>
      <c r="Q546" s="191">
        <v>0.19378581229435143</v>
      </c>
    </row>
    <row r="547" spans="1:17" x14ac:dyDescent="0.35">
      <c r="A547" s="238" t="s">
        <v>330</v>
      </c>
      <c r="B547" s="238" t="s">
        <v>373</v>
      </c>
      <c r="C547" s="191">
        <v>0.40839951722917894</v>
      </c>
      <c r="D547" s="191">
        <v>0.41521087071191465</v>
      </c>
      <c r="E547" s="191">
        <v>0.42819788989169899</v>
      </c>
      <c r="F547" s="191">
        <v>0.4285825726564223</v>
      </c>
      <c r="G547" s="191">
        <v>0.4201005975115219</v>
      </c>
      <c r="H547" s="191">
        <v>0.41268027268550234</v>
      </c>
      <c r="I547" s="191">
        <v>0.41211831677424504</v>
      </c>
      <c r="J547" s="191">
        <v>0.47603283588256862</v>
      </c>
      <c r="K547" s="191">
        <v>0.49272907853459752</v>
      </c>
      <c r="L547" s="191">
        <v>0.47842535472444919</v>
      </c>
      <c r="M547" s="191">
        <v>0.45089277838492575</v>
      </c>
      <c r="N547" s="191">
        <v>0.46473727616096494</v>
      </c>
      <c r="O547" s="191">
        <v>0.54496168265672573</v>
      </c>
      <c r="P547" s="191">
        <v>0.51877322251304547</v>
      </c>
      <c r="Q547" s="191">
        <v>0.52611138233488275</v>
      </c>
    </row>
    <row r="548" spans="1:17" x14ac:dyDescent="0.35">
      <c r="A548" s="238" t="s">
        <v>329</v>
      </c>
      <c r="B548" s="238" t="s">
        <v>373</v>
      </c>
      <c r="C548" s="191">
        <v>0.47589911961923304</v>
      </c>
      <c r="D548" s="191">
        <v>0.48810317329631847</v>
      </c>
      <c r="E548" s="191">
        <v>0.50105308456582143</v>
      </c>
      <c r="F548" s="191">
        <v>0.50511035904787771</v>
      </c>
      <c r="G548" s="191">
        <v>0.49222731536732578</v>
      </c>
      <c r="H548" s="191">
        <v>0.51851408681322464</v>
      </c>
      <c r="I548" s="191">
        <v>0.53848928921187622</v>
      </c>
      <c r="J548" s="191">
        <v>0.55379628995480668</v>
      </c>
      <c r="K548" s="191">
        <v>0.58457691950848378</v>
      </c>
      <c r="L548" s="191">
        <v>0.58478878910022003</v>
      </c>
      <c r="M548" s="191">
        <v>0.5987198528777099</v>
      </c>
      <c r="N548" s="191">
        <v>0.62915272023432522</v>
      </c>
      <c r="O548" s="191">
        <v>0.69131164234400422</v>
      </c>
      <c r="P548" s="191">
        <v>0.71871088047862253</v>
      </c>
      <c r="Q548" s="191">
        <v>0.74137834914394773</v>
      </c>
    </row>
    <row r="549" spans="1:17" x14ac:dyDescent="0.35">
      <c r="A549" s="238" t="s">
        <v>328</v>
      </c>
      <c r="B549" s="238" t="s">
        <v>373</v>
      </c>
      <c r="C549" s="191">
        <v>0.33605505200690139</v>
      </c>
      <c r="D549" s="191">
        <v>0.33199718238815767</v>
      </c>
      <c r="E549" s="191">
        <v>0.3409749985532885</v>
      </c>
      <c r="F549" s="191">
        <v>0.3457400169586935</v>
      </c>
      <c r="G549" s="191">
        <v>0.34122371463660228</v>
      </c>
      <c r="H549" s="191">
        <v>0.35116426580000848</v>
      </c>
      <c r="I549" s="191">
        <v>0.36708612847876365</v>
      </c>
      <c r="J549" s="191">
        <v>0.36523506999109473</v>
      </c>
      <c r="K549" s="191">
        <v>0.35815461591948927</v>
      </c>
      <c r="L549" s="191">
        <v>0.33666873903877992</v>
      </c>
      <c r="M549" s="191">
        <v>0.33902602916666025</v>
      </c>
      <c r="N549" s="191">
        <v>0.34971618344751637</v>
      </c>
      <c r="O549" s="191">
        <v>0.35870597911304736</v>
      </c>
      <c r="P549" s="191">
        <v>0.37563059560620543</v>
      </c>
      <c r="Q549" s="191">
        <v>0.39270181573097362</v>
      </c>
    </row>
    <row r="550" spans="1:17" x14ac:dyDescent="0.35">
      <c r="A550" s="238" t="s">
        <v>327</v>
      </c>
      <c r="B550" s="238" t="s">
        <v>373</v>
      </c>
      <c r="C550" s="191">
        <v>0.38788797512751721</v>
      </c>
      <c r="D550" s="191">
        <v>0.3708698504162547</v>
      </c>
      <c r="E550" s="191">
        <v>0.38061467555067985</v>
      </c>
      <c r="F550" s="191">
        <v>0.39955675996821305</v>
      </c>
      <c r="G550" s="191">
        <v>0.37762190742153284</v>
      </c>
      <c r="H550" s="191">
        <v>0.39091172102920724</v>
      </c>
      <c r="I550" s="191">
        <v>0.41155004608034385</v>
      </c>
      <c r="J550" s="191">
        <v>0.40927380105050193</v>
      </c>
      <c r="K550" s="191">
        <v>0.42642538585243062</v>
      </c>
      <c r="L550" s="191">
        <v>0.40805678697158126</v>
      </c>
      <c r="M550" s="191">
        <v>0.40907994990663921</v>
      </c>
      <c r="N550" s="191">
        <v>0.41687604647378884</v>
      </c>
      <c r="O550" s="191">
        <v>0.4272759179642891</v>
      </c>
      <c r="P550" s="191">
        <v>0.45096448583522081</v>
      </c>
      <c r="Q550" s="191">
        <v>0.45223716980724687</v>
      </c>
    </row>
    <row r="551" spans="1:17" x14ac:dyDescent="0.35">
      <c r="A551" s="238" t="s">
        <v>326</v>
      </c>
      <c r="B551" s="238" t="s">
        <v>373</v>
      </c>
      <c r="C551" s="191">
        <v>0</v>
      </c>
      <c r="D551" s="191">
        <v>0</v>
      </c>
      <c r="E551" s="191">
        <v>0</v>
      </c>
      <c r="F551" s="191">
        <v>0</v>
      </c>
      <c r="G551" s="191">
        <v>0</v>
      </c>
      <c r="H551" s="191">
        <v>0</v>
      </c>
      <c r="I551" s="191">
        <v>0</v>
      </c>
      <c r="J551" s="191">
        <v>0</v>
      </c>
      <c r="K551" s="191">
        <v>0</v>
      </c>
      <c r="L551" s="191">
        <v>0</v>
      </c>
      <c r="M551" s="191">
        <v>0</v>
      </c>
      <c r="N551" s="191">
        <v>0</v>
      </c>
      <c r="O551" s="191">
        <v>0</v>
      </c>
      <c r="P551" s="191">
        <v>0</v>
      </c>
      <c r="Q551" s="191">
        <v>0</v>
      </c>
    </row>
    <row r="552" spans="1:17" x14ac:dyDescent="0.35">
      <c r="A552" s="238" t="s">
        <v>325</v>
      </c>
      <c r="B552" s="238" t="s">
        <v>373</v>
      </c>
      <c r="C552" s="191">
        <v>0.62487823707298329</v>
      </c>
      <c r="D552" s="191">
        <v>0.64028844496819126</v>
      </c>
      <c r="E552" s="191">
        <v>0.63210563406524789</v>
      </c>
      <c r="F552" s="191">
        <v>0.63526974485512377</v>
      </c>
      <c r="G552" s="191">
        <v>0.62959478116870637</v>
      </c>
      <c r="H552" s="191">
        <v>0.63106036562554957</v>
      </c>
      <c r="I552" s="191">
        <v>0.63255830729143059</v>
      </c>
      <c r="J552" s="191">
        <v>0.63801885066980846</v>
      </c>
      <c r="K552" s="191">
        <v>0.64097524228549196</v>
      </c>
      <c r="L552" s="191">
        <v>0.63812247738514738</v>
      </c>
      <c r="M552" s="191">
        <v>0.64676242729755273</v>
      </c>
      <c r="N552" s="191">
        <v>0.6425008735900154</v>
      </c>
      <c r="O552" s="191">
        <v>0.63982868792097525</v>
      </c>
      <c r="P552" s="191">
        <v>0.64590359912493367</v>
      </c>
      <c r="Q552" s="191">
        <v>0.66827597255836935</v>
      </c>
    </row>
    <row r="553" spans="1:17" x14ac:dyDescent="0.35">
      <c r="A553" s="238" t="s">
        <v>360</v>
      </c>
      <c r="B553" s="238" t="s">
        <v>374</v>
      </c>
      <c r="C553" s="191">
        <v>0.1779432025330486</v>
      </c>
      <c r="D553" s="191">
        <v>0.13870566072139295</v>
      </c>
      <c r="E553" s="191">
        <v>0.12082321976272868</v>
      </c>
      <c r="F553" s="191">
        <v>0.10766561537513031</v>
      </c>
      <c r="G553" s="191">
        <v>9.5970245607456178E-2</v>
      </c>
      <c r="H553" s="191">
        <v>9.1822429735745628E-2</v>
      </c>
      <c r="I553" s="191">
        <v>8.5397214185329348E-2</v>
      </c>
      <c r="J553" s="191">
        <v>7.8729204628786104E-2</v>
      </c>
      <c r="K553" s="191">
        <v>7.0304526120268135E-2</v>
      </c>
      <c r="L553" s="191">
        <v>6.2696166908013787E-2</v>
      </c>
      <c r="M553" s="191">
        <v>6.3072011870779751E-2</v>
      </c>
      <c r="N553" s="191">
        <v>6.0652814677062877E-2</v>
      </c>
      <c r="O553" s="191">
        <v>5.8431192052661673E-2</v>
      </c>
      <c r="P553" s="191">
        <v>5.4108428969271968E-2</v>
      </c>
      <c r="Q553" s="191">
        <v>5.1094287867918801E-2</v>
      </c>
    </row>
    <row r="554" spans="1:17" x14ac:dyDescent="0.35">
      <c r="A554" s="238" t="s">
        <v>359</v>
      </c>
      <c r="B554" s="238" t="s">
        <v>374</v>
      </c>
      <c r="C554" s="191">
        <v>0.39615757379217825</v>
      </c>
      <c r="D554" s="191">
        <v>0.32878335690737376</v>
      </c>
      <c r="E554" s="191">
        <v>0.33621219137540842</v>
      </c>
      <c r="F554" s="191">
        <v>0.34030321699873817</v>
      </c>
      <c r="G554" s="191">
        <v>0.32537089057998669</v>
      </c>
      <c r="H554" s="191">
        <v>0.30352427099269813</v>
      </c>
      <c r="I554" s="191">
        <v>0.31901839244029789</v>
      </c>
      <c r="J554" s="191">
        <v>0.31766176005583435</v>
      </c>
      <c r="K554" s="191">
        <v>0.29892007500937756</v>
      </c>
      <c r="L554" s="191">
        <v>0.28213069278326541</v>
      </c>
      <c r="M554" s="191">
        <v>0.31331686569242123</v>
      </c>
      <c r="N554" s="191">
        <v>0.3033988711082321</v>
      </c>
      <c r="O554" s="191">
        <v>0.24857012656222557</v>
      </c>
      <c r="P554" s="191">
        <v>0.20262862281637783</v>
      </c>
      <c r="Q554" s="191">
        <v>0.21661982425221729</v>
      </c>
    </row>
    <row r="555" spans="1:17" x14ac:dyDescent="0.35">
      <c r="A555" s="238" t="s">
        <v>358</v>
      </c>
      <c r="B555" s="238" t="s">
        <v>374</v>
      </c>
      <c r="C555" s="191">
        <v>0.1649647280255494</v>
      </c>
      <c r="D555" s="191">
        <v>0.13923080611190244</v>
      </c>
      <c r="E555" s="191">
        <v>0.12635079185735151</v>
      </c>
      <c r="F555" s="191">
        <v>0.1277449510541924</v>
      </c>
      <c r="G555" s="191">
        <v>0.12716106154203174</v>
      </c>
      <c r="H555" s="191">
        <v>0.11618948111680057</v>
      </c>
      <c r="I555" s="191">
        <v>0.1142084176253826</v>
      </c>
      <c r="J555" s="191">
        <v>0.1168006772309306</v>
      </c>
      <c r="K555" s="191">
        <v>0.12312181692947147</v>
      </c>
      <c r="L555" s="191">
        <v>0.12095713287918461</v>
      </c>
      <c r="M555" s="191">
        <v>0.11552633351364591</v>
      </c>
      <c r="N555" s="191">
        <v>0.12292787322827238</v>
      </c>
      <c r="O555" s="191">
        <v>0.11748827453727254</v>
      </c>
      <c r="P555" s="191">
        <v>0.11982507444312444</v>
      </c>
      <c r="Q555" s="191">
        <v>0.12010630655390092</v>
      </c>
    </row>
    <row r="556" spans="1:17" x14ac:dyDescent="0.35">
      <c r="A556" s="238" t="s">
        <v>357</v>
      </c>
      <c r="B556" s="238" t="s">
        <v>374</v>
      </c>
      <c r="C556" s="191">
        <v>0.22086369963658975</v>
      </c>
      <c r="D556" s="191">
        <v>0.17406359415856623</v>
      </c>
      <c r="E556" s="191">
        <v>0.16224183065657455</v>
      </c>
      <c r="F556" s="191">
        <v>0.16693572325962322</v>
      </c>
      <c r="G556" s="191">
        <v>0.14221222136468667</v>
      </c>
      <c r="H556" s="191">
        <v>0.16381674657242878</v>
      </c>
      <c r="I556" s="191">
        <v>0.16831927283258077</v>
      </c>
      <c r="J556" s="191">
        <v>0.16035462473979567</v>
      </c>
      <c r="K556" s="191">
        <v>0.16990092433698151</v>
      </c>
      <c r="L556" s="191">
        <v>0.19637915352632893</v>
      </c>
      <c r="M556" s="191">
        <v>0.20538678486804926</v>
      </c>
      <c r="N556" s="191">
        <v>0.2042770960192051</v>
      </c>
      <c r="O556" s="191">
        <v>0.20725324806843504</v>
      </c>
      <c r="P556" s="191">
        <v>0.19506434139198559</v>
      </c>
      <c r="Q556" s="191">
        <v>0.18757549668212872</v>
      </c>
    </row>
    <row r="557" spans="1:17" x14ac:dyDescent="0.35">
      <c r="A557" s="238" t="s">
        <v>356</v>
      </c>
      <c r="B557" s="238" t="s">
        <v>374</v>
      </c>
      <c r="C557" s="191">
        <v>0.11953127415721884</v>
      </c>
      <c r="D557" s="191">
        <v>9.4748545278026314E-2</v>
      </c>
      <c r="E557" s="191">
        <v>8.7648396005867726E-2</v>
      </c>
      <c r="F557" s="191">
        <v>9.1606953048283174E-2</v>
      </c>
      <c r="G557" s="191">
        <v>7.6753791523827775E-2</v>
      </c>
      <c r="H557" s="191">
        <v>8.0742043238969552E-2</v>
      </c>
      <c r="I557" s="191">
        <v>7.6558067952077397E-2</v>
      </c>
      <c r="J557" s="191">
        <v>7.607364176815419E-2</v>
      </c>
      <c r="K557" s="191">
        <v>8.070889556854588E-2</v>
      </c>
      <c r="L557" s="191">
        <v>8.0077462988370582E-2</v>
      </c>
      <c r="M557" s="191">
        <v>8.5483714865884436E-2</v>
      </c>
      <c r="N557" s="191">
        <v>8.3903832936041256E-2</v>
      </c>
      <c r="O557" s="191">
        <v>7.8417511506145204E-2</v>
      </c>
      <c r="P557" s="191">
        <v>7.1118503427245336E-2</v>
      </c>
      <c r="Q557" s="191">
        <v>7.2209697732040376E-2</v>
      </c>
    </row>
    <row r="558" spans="1:17" x14ac:dyDescent="0.35">
      <c r="A558" s="238" t="s">
        <v>355</v>
      </c>
      <c r="B558" s="238" t="s">
        <v>374</v>
      </c>
      <c r="C558" s="191">
        <v>0.87939525506814942</v>
      </c>
      <c r="D558" s="191">
        <v>0.60585440206940855</v>
      </c>
      <c r="E558" s="191">
        <v>0.53340203525879548</v>
      </c>
      <c r="F558" s="191">
        <v>0.51537931311169938</v>
      </c>
      <c r="G558" s="191">
        <v>0.58711028745752358</v>
      </c>
      <c r="H558" s="191">
        <v>0.62032111439321924</v>
      </c>
      <c r="I558" s="191">
        <v>0.63137599857967663</v>
      </c>
      <c r="J558" s="191">
        <v>0.64394311047965447</v>
      </c>
      <c r="K558" s="191">
        <v>0.63361537798244916</v>
      </c>
      <c r="L558" s="191">
        <v>0.61163238318457469</v>
      </c>
      <c r="M558" s="191">
        <v>0.16268003128165623</v>
      </c>
      <c r="N558" s="191">
        <v>0.1751541793275517</v>
      </c>
      <c r="O558" s="191">
        <v>0.17069373931579726</v>
      </c>
      <c r="P558" s="191">
        <v>0.17493073288251104</v>
      </c>
      <c r="Q558" s="191">
        <v>0.17875505194786806</v>
      </c>
    </row>
    <row r="559" spans="1:17" x14ac:dyDescent="0.35">
      <c r="A559" s="238" t="s">
        <v>354</v>
      </c>
      <c r="B559" s="238" t="s">
        <v>374</v>
      </c>
      <c r="C559" s="191">
        <v>0.10098146124858108</v>
      </c>
      <c r="D559" s="191">
        <v>0.11673687052005599</v>
      </c>
      <c r="E559" s="191">
        <v>0.1065235889017262</v>
      </c>
      <c r="F559" s="191">
        <v>0.10299216552866995</v>
      </c>
      <c r="G559" s="191">
        <v>0.10436492141138511</v>
      </c>
      <c r="H559" s="191">
        <v>9.9594386749031039E-2</v>
      </c>
      <c r="I559" s="191">
        <v>0.10092439867341914</v>
      </c>
      <c r="J559" s="191">
        <v>0.1148304535785617</v>
      </c>
      <c r="K559" s="191">
        <v>0.16569911801129128</v>
      </c>
      <c r="L559" s="191">
        <v>0.18942512330308361</v>
      </c>
      <c r="M559" s="191">
        <v>0.27714368209914342</v>
      </c>
      <c r="N559" s="191">
        <v>0.30306283049683014</v>
      </c>
      <c r="O559" s="191">
        <v>0.27831023548626566</v>
      </c>
      <c r="P559" s="191">
        <v>0.26327814535913896</v>
      </c>
      <c r="Q559" s="191">
        <v>0.27018420717455527</v>
      </c>
    </row>
    <row r="560" spans="1:17" x14ac:dyDescent="0.35">
      <c r="A560" s="238" t="s">
        <v>353</v>
      </c>
      <c r="B560" s="238" t="s">
        <v>374</v>
      </c>
      <c r="C560" s="191">
        <v>0.83062553890918778</v>
      </c>
      <c r="D560" s="191">
        <v>0.68671029237238457</v>
      </c>
      <c r="E560" s="191">
        <v>0.63983577091772714</v>
      </c>
      <c r="F560" s="191">
        <v>0.66976127355455284</v>
      </c>
      <c r="G560" s="191">
        <v>0.67092534948763405</v>
      </c>
      <c r="H560" s="191">
        <v>0.69573506267166996</v>
      </c>
      <c r="I560" s="191">
        <v>0.67842809467498877</v>
      </c>
      <c r="J560" s="191">
        <v>0.64797128025477835</v>
      </c>
      <c r="K560" s="191">
        <v>0.64064901624923387</v>
      </c>
      <c r="L560" s="191">
        <v>0.63327907931233463</v>
      </c>
      <c r="M560" s="191">
        <v>0.79102533032400713</v>
      </c>
      <c r="N560" s="191">
        <v>0.81476674353692868</v>
      </c>
      <c r="O560" s="191">
        <v>0.81708298129043822</v>
      </c>
      <c r="P560" s="191">
        <v>0.63811958237158062</v>
      </c>
      <c r="Q560" s="191">
        <v>0.72196412104983054</v>
      </c>
    </row>
    <row r="561" spans="1:17" x14ac:dyDescent="0.35">
      <c r="A561" s="238" t="s">
        <v>352</v>
      </c>
      <c r="B561" s="238" t="s">
        <v>374</v>
      </c>
      <c r="C561" s="191">
        <v>0.85843672753213718</v>
      </c>
      <c r="D561" s="191">
        <v>0.73978521289196875</v>
      </c>
      <c r="E561" s="191">
        <v>0.66724787357296</v>
      </c>
      <c r="F561" s="191">
        <v>0.62039228621069786</v>
      </c>
      <c r="G561" s="191">
        <v>0.6560905475232538</v>
      </c>
      <c r="H561" s="191">
        <v>0.68194272695703106</v>
      </c>
      <c r="I561" s="191">
        <v>0.67767611481297263</v>
      </c>
      <c r="J561" s="191">
        <v>0.68675225868195899</v>
      </c>
      <c r="K561" s="191">
        <v>0.72124029458012062</v>
      </c>
      <c r="L561" s="191">
        <v>0.71754178107604349</v>
      </c>
      <c r="M561" s="191">
        <v>0.73537499267148532</v>
      </c>
      <c r="N561" s="191">
        <v>0.74327529792834268</v>
      </c>
      <c r="O561" s="191">
        <v>0.70832841829072402</v>
      </c>
      <c r="P561" s="191">
        <v>0.66759158722668377</v>
      </c>
      <c r="Q561" s="191">
        <v>0.66974306858597488</v>
      </c>
    </row>
    <row r="562" spans="1:17" x14ac:dyDescent="0.35">
      <c r="A562" s="238" t="s">
        <v>351</v>
      </c>
      <c r="B562" s="238" t="s">
        <v>374</v>
      </c>
      <c r="C562" s="191">
        <v>0.45484858353019414</v>
      </c>
      <c r="D562" s="191">
        <v>0.4169535131947727</v>
      </c>
      <c r="E562" s="191">
        <v>0.34233489349153934</v>
      </c>
      <c r="F562" s="191">
        <v>0.29792340156801339</v>
      </c>
      <c r="G562" s="191">
        <v>0.30308181830473974</v>
      </c>
      <c r="H562" s="191">
        <v>0.33453397584954059</v>
      </c>
      <c r="I562" s="191">
        <v>0.35123840932746825</v>
      </c>
      <c r="J562" s="191">
        <v>0.35016180267711977</v>
      </c>
      <c r="K562" s="191">
        <v>0.36651311682730658</v>
      </c>
      <c r="L562" s="191">
        <v>0.35922644313396662</v>
      </c>
      <c r="M562" s="191">
        <v>0.35219533350061194</v>
      </c>
      <c r="N562" s="191">
        <v>0.29932860571513153</v>
      </c>
      <c r="O562" s="191">
        <v>0.27516433128575574</v>
      </c>
      <c r="P562" s="191">
        <v>0.26080951846334471</v>
      </c>
      <c r="Q562" s="191">
        <v>0.24392179773689737</v>
      </c>
    </row>
    <row r="563" spans="1:17" x14ac:dyDescent="0.35">
      <c r="A563" s="238" t="s">
        <v>350</v>
      </c>
      <c r="B563" s="238" t="s">
        <v>374</v>
      </c>
      <c r="C563" s="191">
        <v>0.11474364843841015</v>
      </c>
      <c r="D563" s="191">
        <v>0.10151568295398181</v>
      </c>
      <c r="E563" s="191">
        <v>0.21773116227177719</v>
      </c>
      <c r="F563" s="191">
        <v>0.19260112324974013</v>
      </c>
      <c r="G563" s="191">
        <v>0.18604035907517102</v>
      </c>
      <c r="H563" s="191">
        <v>0.17777728888495309</v>
      </c>
      <c r="I563" s="191">
        <v>0.17423772669235049</v>
      </c>
      <c r="J563" s="191">
        <v>0.16987213626105857</v>
      </c>
      <c r="K563" s="191">
        <v>0.17492400397096394</v>
      </c>
      <c r="L563" s="191">
        <v>0.16052398993714187</v>
      </c>
      <c r="M563" s="191">
        <v>0.14392398218341645</v>
      </c>
      <c r="N563" s="191">
        <v>0.14100417382802141</v>
      </c>
      <c r="O563" s="191">
        <v>0.12626025452818337</v>
      </c>
      <c r="P563" s="191">
        <v>0.12437860569413856</v>
      </c>
      <c r="Q563" s="191">
        <v>0.12875483469908691</v>
      </c>
    </row>
    <row r="564" spans="1:17" x14ac:dyDescent="0.35">
      <c r="A564" s="238" t="s">
        <v>349</v>
      </c>
      <c r="B564" s="238" t="s">
        <v>374</v>
      </c>
      <c r="C564" s="191">
        <v>0.44447170498746297</v>
      </c>
      <c r="D564" s="191">
        <v>0.37406412111037629</v>
      </c>
      <c r="E564" s="191">
        <v>0.34430189551078588</v>
      </c>
      <c r="F564" s="191">
        <v>0.3497366773559753</v>
      </c>
      <c r="G564" s="191">
        <v>0.34266848220142215</v>
      </c>
      <c r="H564" s="191">
        <v>0.33541431019446977</v>
      </c>
      <c r="I564" s="191">
        <v>0.34253539572158626</v>
      </c>
      <c r="J564" s="191">
        <v>0.33759777008877828</v>
      </c>
      <c r="K564" s="191">
        <v>0.35789125840202263</v>
      </c>
      <c r="L564" s="191">
        <v>0.33321424700719088</v>
      </c>
      <c r="M564" s="191">
        <v>0.24014901435638161</v>
      </c>
      <c r="N564" s="191">
        <v>0.23411185889026981</v>
      </c>
      <c r="O564" s="191">
        <v>0.22060202401252918</v>
      </c>
      <c r="P564" s="191">
        <v>0.21104699993532811</v>
      </c>
      <c r="Q564" s="191">
        <v>0.22324946339634189</v>
      </c>
    </row>
    <row r="565" spans="1:17" x14ac:dyDescent="0.35">
      <c r="A565" s="238" t="s">
        <v>348</v>
      </c>
      <c r="B565" s="238" t="s">
        <v>374</v>
      </c>
      <c r="C565" s="191">
        <v>0.26636942792831758</v>
      </c>
      <c r="D565" s="191">
        <v>0.22834274038650992</v>
      </c>
      <c r="E565" s="191">
        <v>0.19136133527590732</v>
      </c>
      <c r="F565" s="191">
        <v>0.15672414838290921</v>
      </c>
      <c r="G565" s="191">
        <v>0.13627395112125568</v>
      </c>
      <c r="H565" s="191">
        <v>0.12207404682352825</v>
      </c>
      <c r="I565" s="191">
        <v>0.13086844378406912</v>
      </c>
      <c r="J565" s="191">
        <v>0.12703448169356632</v>
      </c>
      <c r="K565" s="191">
        <v>0.13194301068066228</v>
      </c>
      <c r="L565" s="191">
        <v>0.11608788997022071</v>
      </c>
      <c r="M565" s="191">
        <v>4.4876514128212898E-2</v>
      </c>
      <c r="N565" s="191">
        <v>4.0994027259682569E-2</v>
      </c>
      <c r="O565" s="191">
        <v>3.9279458189193962E-2</v>
      </c>
      <c r="P565" s="191">
        <v>4.2073302537394643E-2</v>
      </c>
      <c r="Q565" s="191">
        <v>4.949099593229013E-2</v>
      </c>
    </row>
    <row r="566" spans="1:17" x14ac:dyDescent="0.35">
      <c r="A566" s="238" t="s">
        <v>347</v>
      </c>
      <c r="B566" s="238" t="s">
        <v>374</v>
      </c>
      <c r="C566" s="191">
        <v>0.10697241151915922</v>
      </c>
      <c r="D566" s="191">
        <v>8.1107709641390149E-2</v>
      </c>
      <c r="E566" s="191">
        <v>6.7752882790500152E-2</v>
      </c>
      <c r="F566" s="191">
        <v>5.798327242155274E-2</v>
      </c>
      <c r="G566" s="191">
        <v>4.8131515881234051E-2</v>
      </c>
      <c r="H566" s="191">
        <v>4.356663913750887E-2</v>
      </c>
      <c r="I566" s="191">
        <v>4.6106466948467428E-2</v>
      </c>
      <c r="J566" s="191">
        <v>4.9813041729922375E-2</v>
      </c>
      <c r="K566" s="191">
        <v>5.2091702020618968E-2</v>
      </c>
      <c r="L566" s="191">
        <v>4.6200741179265502E-2</v>
      </c>
      <c r="M566" s="191">
        <v>3.0935037153437074E-2</v>
      </c>
      <c r="N566" s="191">
        <v>2.6442576907990945E-2</v>
      </c>
      <c r="O566" s="191">
        <v>2.1417439255133085E-2</v>
      </c>
      <c r="P566" s="191">
        <v>1.861581660746257E-2</v>
      </c>
      <c r="Q566" s="191">
        <v>1.916486673716104E-2</v>
      </c>
    </row>
    <row r="567" spans="1:17" x14ac:dyDescent="0.35">
      <c r="A567" s="238" t="s">
        <v>346</v>
      </c>
      <c r="B567" s="238" t="s">
        <v>374</v>
      </c>
      <c r="C567" s="191">
        <v>3.2302470097157629E-2</v>
      </c>
      <c r="D567" s="191">
        <v>3.3659053545059783E-2</v>
      </c>
      <c r="E567" s="191">
        <v>2.7996316297390002E-2</v>
      </c>
      <c r="F567" s="191">
        <v>2.3281660493970641E-2</v>
      </c>
      <c r="G567" s="191">
        <v>1.6752929925473788E-2</v>
      </c>
      <c r="H567" s="191">
        <v>2.0291977858137314E-2</v>
      </c>
      <c r="I567" s="191">
        <v>2.1301346489013301E-2</v>
      </c>
      <c r="J567" s="191">
        <v>2.2852445307751199E-2</v>
      </c>
      <c r="K567" s="191">
        <v>3.3935283609928715E-2</v>
      </c>
      <c r="L567" s="191">
        <v>3.1736018731842015E-2</v>
      </c>
      <c r="M567" s="191">
        <v>5.2542214521681042E-2</v>
      </c>
      <c r="N567" s="191">
        <v>4.9362511568669581E-2</v>
      </c>
      <c r="O567" s="191">
        <v>4.1862360374753528E-2</v>
      </c>
      <c r="P567" s="191">
        <v>4.4647753049253829E-2</v>
      </c>
      <c r="Q567" s="191">
        <v>4.9945510007375953E-2</v>
      </c>
    </row>
    <row r="568" spans="1:17" x14ac:dyDescent="0.35">
      <c r="A568" s="238" t="s">
        <v>345</v>
      </c>
      <c r="B568" s="238" t="s">
        <v>374</v>
      </c>
      <c r="C568" s="191">
        <v>0.25247422766756827</v>
      </c>
      <c r="D568" s="191">
        <v>0.27707830968765612</v>
      </c>
      <c r="E568" s="191">
        <v>0.28924637436765049</v>
      </c>
      <c r="F568" s="191">
        <v>0.27262389123202557</v>
      </c>
      <c r="G568" s="191">
        <v>0.20248756829133865</v>
      </c>
      <c r="H568" s="191">
        <v>0.23533342968400625</v>
      </c>
      <c r="I568" s="191">
        <v>0.23530529422681773</v>
      </c>
      <c r="J568" s="191">
        <v>0.247149639979618</v>
      </c>
      <c r="K568" s="191">
        <v>0.19238247594215038</v>
      </c>
      <c r="L568" s="191">
        <v>0.198232738346037</v>
      </c>
      <c r="M568" s="191">
        <v>0.36604614345951936</v>
      </c>
      <c r="N568" s="191">
        <v>0.29344140426572635</v>
      </c>
      <c r="O568" s="191">
        <v>0.24572907097397129</v>
      </c>
      <c r="P568" s="191">
        <v>0.20145663662856353</v>
      </c>
      <c r="Q568" s="191">
        <v>0.19532635509562399</v>
      </c>
    </row>
    <row r="569" spans="1:17" x14ac:dyDescent="0.35">
      <c r="A569" s="238" t="s">
        <v>344</v>
      </c>
      <c r="B569" s="238" t="s">
        <v>374</v>
      </c>
      <c r="C569" s="191">
        <v>0.17656446185316851</v>
      </c>
      <c r="D569" s="191">
        <v>0.19723181996517808</v>
      </c>
      <c r="E569" s="191">
        <v>0.18347204565651665</v>
      </c>
      <c r="F569" s="191">
        <v>0.19266562232704065</v>
      </c>
      <c r="G569" s="191">
        <v>0.1947154183161916</v>
      </c>
      <c r="H569" s="191">
        <v>0.1618948285114104</v>
      </c>
      <c r="I569" s="191">
        <v>0.16305138277427911</v>
      </c>
      <c r="J569" s="191">
        <v>0.21828024089209305</v>
      </c>
      <c r="K569" s="191">
        <v>0.22847274873040754</v>
      </c>
      <c r="L569" s="191">
        <v>0.22888674862368502</v>
      </c>
      <c r="M569" s="191">
        <v>0.25089241522740796</v>
      </c>
      <c r="N569" s="191">
        <v>0.30335290904121459</v>
      </c>
      <c r="O569" s="191">
        <v>0.257287023612773</v>
      </c>
      <c r="P569" s="191">
        <v>0.21861331518289215</v>
      </c>
      <c r="Q569" s="191">
        <v>0.23420824672911003</v>
      </c>
    </row>
    <row r="570" spans="1:17" x14ac:dyDescent="0.35">
      <c r="A570" s="238" t="s">
        <v>343</v>
      </c>
      <c r="B570" s="238" t="s">
        <v>374</v>
      </c>
      <c r="C570" s="191">
        <v>8.3796369018743586E-2</v>
      </c>
      <c r="D570" s="191">
        <v>5.9120169419519322E-2</v>
      </c>
      <c r="E570" s="191">
        <v>2.6342470308196652E-2</v>
      </c>
      <c r="F570" s="191">
        <v>2.1830112391916626E-2</v>
      </c>
      <c r="G570" s="191">
        <v>1.7782460226364399E-2</v>
      </c>
      <c r="H570" s="191">
        <v>1.6762388622089782E-2</v>
      </c>
      <c r="I570" s="191">
        <v>1.7243465798204186E-2</v>
      </c>
      <c r="J570" s="191">
        <v>1.683030360991656E-2</v>
      </c>
      <c r="K570" s="191">
        <v>1.7512769640440632E-2</v>
      </c>
      <c r="L570" s="191">
        <v>1.5677687287333791E-2</v>
      </c>
      <c r="M570" s="191">
        <v>1.2056202327930386E-2</v>
      </c>
      <c r="N570" s="191">
        <v>1.1630321576189033E-2</v>
      </c>
      <c r="O570" s="191">
        <v>1.092204974650565E-2</v>
      </c>
      <c r="P570" s="191">
        <v>9.9482860603403462E-3</v>
      </c>
      <c r="Q570" s="191">
        <v>9.9520566615255261E-3</v>
      </c>
    </row>
    <row r="571" spans="1:17" x14ac:dyDescent="0.35">
      <c r="A571" s="238" t="s">
        <v>342</v>
      </c>
      <c r="B571" s="238" t="s">
        <v>374</v>
      </c>
      <c r="C571" s="191">
        <v>3.4374302573708562E-2</v>
      </c>
      <c r="D571" s="191">
        <v>3.2485807894458887E-2</v>
      </c>
      <c r="E571" s="191">
        <v>2.7079742533509199E-2</v>
      </c>
      <c r="F571" s="191">
        <v>2.7795194906561189E-2</v>
      </c>
      <c r="G571" s="191">
        <v>3.2179945733395332E-2</v>
      </c>
      <c r="H571" s="191">
        <v>2.6495515235646395E-2</v>
      </c>
      <c r="I571" s="191">
        <v>2.6497911781729094E-2</v>
      </c>
      <c r="J571" s="191">
        <v>2.4298545909817323E-2</v>
      </c>
      <c r="K571" s="191">
        <v>3.4986639044640909E-2</v>
      </c>
      <c r="L571" s="191">
        <v>3.5730772189885705E-2</v>
      </c>
      <c r="M571" s="191">
        <v>3.9290179798411241E-2</v>
      </c>
      <c r="N571" s="191">
        <v>3.7976023902130389E-2</v>
      </c>
      <c r="O571" s="191">
        <v>3.3945298554452795E-2</v>
      </c>
      <c r="P571" s="191">
        <v>3.2669346707887618E-2</v>
      </c>
      <c r="Q571" s="191">
        <v>3.173735550499495E-2</v>
      </c>
    </row>
    <row r="572" spans="1:17" x14ac:dyDescent="0.35">
      <c r="A572" s="238" t="s">
        <v>341</v>
      </c>
      <c r="B572" s="238" t="s">
        <v>374</v>
      </c>
      <c r="C572" s="191">
        <v>4.2371359971517655E-2</v>
      </c>
      <c r="D572" s="191">
        <v>5.5966032894388312E-2</v>
      </c>
      <c r="E572" s="191">
        <v>4.5263613438252463E-2</v>
      </c>
      <c r="F572" s="191">
        <v>4.8948810261775909E-2</v>
      </c>
      <c r="G572" s="191">
        <v>5.8810711388934206E-2</v>
      </c>
      <c r="H572" s="191">
        <v>4.3604338049481411E-2</v>
      </c>
      <c r="I572" s="191">
        <v>3.6269972299407226E-2</v>
      </c>
      <c r="J572" s="191">
        <v>3.5657227718147437E-2</v>
      </c>
      <c r="K572" s="191">
        <v>3.2914793301764791E-2</v>
      </c>
      <c r="L572" s="191">
        <v>3.7072826274117766E-2</v>
      </c>
      <c r="M572" s="191">
        <v>4.7066991125771812E-2</v>
      </c>
      <c r="N572" s="191">
        <v>4.4500239569127034E-2</v>
      </c>
      <c r="O572" s="191">
        <v>4.3172999822735363E-2</v>
      </c>
      <c r="P572" s="191">
        <v>4.1550254444295047E-2</v>
      </c>
      <c r="Q572" s="191">
        <v>3.9743093028138735E-2</v>
      </c>
    </row>
    <row r="573" spans="1:17" x14ac:dyDescent="0.35">
      <c r="A573" s="238" t="s">
        <v>340</v>
      </c>
      <c r="B573" s="238" t="s">
        <v>374</v>
      </c>
      <c r="C573" s="191">
        <v>3.8548253304305724E-2</v>
      </c>
      <c r="D573" s="191">
        <v>4.5434926047171587E-2</v>
      </c>
      <c r="E573" s="191">
        <v>3.7976199488189727E-2</v>
      </c>
      <c r="F573" s="191">
        <v>3.8324294809383125E-2</v>
      </c>
      <c r="G573" s="191">
        <v>4.6470618477300343E-2</v>
      </c>
      <c r="H573" s="191">
        <v>3.6015977691395133E-2</v>
      </c>
      <c r="I573" s="191">
        <v>3.3040183450410057E-2</v>
      </c>
      <c r="J573" s="191">
        <v>3.1854062061745764E-2</v>
      </c>
      <c r="K573" s="191">
        <v>3.3092405528700568E-2</v>
      </c>
      <c r="L573" s="191">
        <v>3.5111994469669665E-2</v>
      </c>
      <c r="M573" s="191">
        <v>4.0624476649071505E-2</v>
      </c>
      <c r="N573" s="191">
        <v>4.0054806544673027E-2</v>
      </c>
      <c r="O573" s="191">
        <v>3.6903519610464001E-2</v>
      </c>
      <c r="P573" s="191">
        <v>3.61959235250515E-2</v>
      </c>
      <c r="Q573" s="191">
        <v>3.5836953950618172E-2</v>
      </c>
    </row>
    <row r="574" spans="1:17" x14ac:dyDescent="0.35">
      <c r="A574" s="238" t="s">
        <v>339</v>
      </c>
      <c r="B574" s="238" t="s">
        <v>374</v>
      </c>
      <c r="C574" s="191">
        <v>5.4218565162611379E-2</v>
      </c>
      <c r="D574" s="191">
        <v>6.7210937297201345E-2</v>
      </c>
      <c r="E574" s="191">
        <v>5.9091715002811407E-2</v>
      </c>
      <c r="F574" s="191">
        <v>6.3683781928494748E-2</v>
      </c>
      <c r="G574" s="191">
        <v>5.1731499706559561E-2</v>
      </c>
      <c r="H574" s="191">
        <v>4.1638870297647956E-2</v>
      </c>
      <c r="I574" s="191">
        <v>4.0985337553162263E-2</v>
      </c>
      <c r="J574" s="191">
        <v>4.0874200886912453E-2</v>
      </c>
      <c r="K574" s="191">
        <v>4.1732903199379633E-2</v>
      </c>
      <c r="L574" s="191">
        <v>4.1439086624062538E-2</v>
      </c>
      <c r="M574" s="191">
        <v>5.174077473653161E-2</v>
      </c>
      <c r="N574" s="191">
        <v>5.2319674026586237E-2</v>
      </c>
      <c r="O574" s="191">
        <v>5.1481037060630987E-2</v>
      </c>
      <c r="P574" s="191">
        <v>5.3010627471122521E-2</v>
      </c>
      <c r="Q574" s="191">
        <v>5.1199497709253097E-2</v>
      </c>
    </row>
    <row r="575" spans="1:17" x14ac:dyDescent="0.35">
      <c r="A575" s="238" t="s">
        <v>338</v>
      </c>
      <c r="B575" s="238" t="s">
        <v>374</v>
      </c>
      <c r="C575" s="191">
        <v>0</v>
      </c>
      <c r="D575" s="191">
        <v>0</v>
      </c>
      <c r="E575" s="191">
        <v>0</v>
      </c>
      <c r="F575" s="191">
        <v>0</v>
      </c>
      <c r="G575" s="191">
        <v>0</v>
      </c>
      <c r="H575" s="191">
        <v>0</v>
      </c>
      <c r="I575" s="191">
        <v>0</v>
      </c>
      <c r="J575" s="191">
        <v>0</v>
      </c>
      <c r="K575" s="191">
        <v>0</v>
      </c>
      <c r="L575" s="191">
        <v>0</v>
      </c>
      <c r="M575" s="191">
        <v>0</v>
      </c>
      <c r="N575" s="191">
        <v>0</v>
      </c>
      <c r="O575" s="191">
        <v>0</v>
      </c>
      <c r="P575" s="191">
        <v>0</v>
      </c>
      <c r="Q575" s="191">
        <v>0</v>
      </c>
    </row>
    <row r="576" spans="1:17" x14ac:dyDescent="0.35">
      <c r="A576" s="238" t="s">
        <v>337</v>
      </c>
      <c r="B576" s="238" t="s">
        <v>374</v>
      </c>
      <c r="C576" s="191">
        <v>0</v>
      </c>
      <c r="D576" s="191">
        <v>0</v>
      </c>
      <c r="E576" s="191">
        <v>0</v>
      </c>
      <c r="F576" s="191">
        <v>0</v>
      </c>
      <c r="G576" s="191">
        <v>0</v>
      </c>
      <c r="H576" s="191">
        <v>0</v>
      </c>
      <c r="I576" s="191">
        <v>0</v>
      </c>
      <c r="J576" s="191">
        <v>0</v>
      </c>
      <c r="K576" s="191">
        <v>0</v>
      </c>
      <c r="L576" s="191">
        <v>0</v>
      </c>
      <c r="M576" s="191">
        <v>0</v>
      </c>
      <c r="N576" s="191">
        <v>0</v>
      </c>
      <c r="O576" s="191">
        <v>0</v>
      </c>
      <c r="P576" s="191">
        <v>0</v>
      </c>
      <c r="Q576" s="191">
        <v>0</v>
      </c>
    </row>
    <row r="577" spans="1:17" x14ac:dyDescent="0.35">
      <c r="A577" s="238" t="s">
        <v>336</v>
      </c>
      <c r="B577" s="238" t="s">
        <v>374</v>
      </c>
      <c r="C577" s="191">
        <v>0</v>
      </c>
      <c r="D577" s="191">
        <v>0</v>
      </c>
      <c r="E577" s="191">
        <v>0</v>
      </c>
      <c r="F577" s="191">
        <v>0</v>
      </c>
      <c r="G577" s="191">
        <v>0</v>
      </c>
      <c r="H577" s="191">
        <v>0</v>
      </c>
      <c r="I577" s="191">
        <v>0</v>
      </c>
      <c r="J577" s="191">
        <v>0</v>
      </c>
      <c r="K577" s="191">
        <v>0</v>
      </c>
      <c r="L577" s="191">
        <v>0</v>
      </c>
      <c r="M577" s="191">
        <v>0</v>
      </c>
      <c r="N577" s="191">
        <v>0</v>
      </c>
      <c r="O577" s="191">
        <v>0</v>
      </c>
      <c r="P577" s="191">
        <v>0</v>
      </c>
      <c r="Q577" s="191">
        <v>0</v>
      </c>
    </row>
    <row r="578" spans="1:17" x14ac:dyDescent="0.35">
      <c r="A578" s="238" t="s">
        <v>335</v>
      </c>
      <c r="B578" s="238" t="s">
        <v>374</v>
      </c>
      <c r="C578" s="191">
        <v>0.24766113572697843</v>
      </c>
      <c r="D578" s="191">
        <v>0.14338994544481709</v>
      </c>
      <c r="E578" s="191">
        <v>0.12316507729787073</v>
      </c>
      <c r="F578" s="191">
        <v>0.13796832107982962</v>
      </c>
      <c r="G578" s="191">
        <v>0.12429463594134163</v>
      </c>
      <c r="H578" s="191">
        <v>8.0496997934698014E-2</v>
      </c>
      <c r="I578" s="191">
        <v>7.4879656398431513E-2</v>
      </c>
      <c r="J578" s="191">
        <v>8.137504711026855E-2</v>
      </c>
      <c r="K578" s="191">
        <v>8.0830712397593638E-2</v>
      </c>
      <c r="L578" s="191">
        <v>5.0795843759097632E-2</v>
      </c>
      <c r="M578" s="191">
        <v>7.6941415794401669E-2</v>
      </c>
      <c r="N578" s="191">
        <v>8.0511524467516776E-2</v>
      </c>
      <c r="O578" s="191">
        <v>7.3593135236841467E-2</v>
      </c>
      <c r="P578" s="191">
        <v>8.3917937918516844E-2</v>
      </c>
      <c r="Q578" s="191">
        <v>8.9416722928342948E-2</v>
      </c>
    </row>
    <row r="579" spans="1:17" x14ac:dyDescent="0.35">
      <c r="A579" s="238" t="s">
        <v>334</v>
      </c>
      <c r="B579" s="238" t="s">
        <v>374</v>
      </c>
      <c r="C579" s="191">
        <v>3.6304726990665843E-2</v>
      </c>
      <c r="D579" s="191">
        <v>5.3799886422011715E-2</v>
      </c>
      <c r="E579" s="191">
        <v>4.6350858480003837E-2</v>
      </c>
      <c r="F579" s="191">
        <v>4.9202556989207141E-2</v>
      </c>
      <c r="G579" s="191">
        <v>4.471989075620264E-2</v>
      </c>
      <c r="H579" s="191">
        <v>2.8167882760934248E-2</v>
      </c>
      <c r="I579" s="191">
        <v>2.6121487945967616E-2</v>
      </c>
      <c r="J579" s="191">
        <v>2.8336496804928581E-2</v>
      </c>
      <c r="K579" s="191">
        <v>2.612764861482731E-2</v>
      </c>
      <c r="L579" s="191">
        <v>2.4237634423599087E-2</v>
      </c>
      <c r="M579" s="191">
        <v>2.8316188776702115E-2</v>
      </c>
      <c r="N579" s="191">
        <v>2.8717708371679678E-2</v>
      </c>
      <c r="O579" s="191">
        <v>2.6772228988606268E-2</v>
      </c>
      <c r="P579" s="191">
        <v>2.5544075672672039E-2</v>
      </c>
      <c r="Q579" s="191">
        <v>2.4647080113104639E-2</v>
      </c>
    </row>
    <row r="580" spans="1:17" x14ac:dyDescent="0.35">
      <c r="A580" s="238" t="s">
        <v>333</v>
      </c>
      <c r="B580" s="238" t="s">
        <v>374</v>
      </c>
      <c r="C580" s="191">
        <v>3.0423145843399658E-2</v>
      </c>
      <c r="D580" s="191">
        <v>1.665834393959276E-2</v>
      </c>
      <c r="E580" s="191">
        <v>1.3724581645353938E-2</v>
      </c>
      <c r="F580" s="191">
        <v>1.3857964113641258E-2</v>
      </c>
      <c r="G580" s="191">
        <v>1.6876689956649222E-2</v>
      </c>
      <c r="H580" s="191">
        <v>1.4085984707775272E-2</v>
      </c>
      <c r="I580" s="191">
        <v>1.4541294966107411E-2</v>
      </c>
      <c r="J580" s="191">
        <v>1.5620240851815416E-2</v>
      </c>
      <c r="K580" s="191">
        <v>1.145640746873261E-2</v>
      </c>
      <c r="L580" s="191">
        <v>1.1402731070671244E-2</v>
      </c>
      <c r="M580" s="191">
        <v>1.498877870550671E-2</v>
      </c>
      <c r="N580" s="191">
        <v>1.3780569855714568E-2</v>
      </c>
      <c r="O580" s="191">
        <v>1.3772255699667259E-2</v>
      </c>
      <c r="P580" s="191">
        <v>1.4489989788855498E-2</v>
      </c>
      <c r="Q580" s="191">
        <v>1.3042316407139366E-2</v>
      </c>
    </row>
    <row r="581" spans="1:17" x14ac:dyDescent="0.35">
      <c r="A581" s="238" t="s">
        <v>332</v>
      </c>
      <c r="B581" s="238" t="s">
        <v>374</v>
      </c>
      <c r="C581" s="191">
        <v>6.7485032959928845E-2</v>
      </c>
      <c r="D581" s="191">
        <v>5.2712807858196084E-2</v>
      </c>
      <c r="E581" s="191">
        <v>4.4725996059406921E-2</v>
      </c>
      <c r="F581" s="191">
        <v>4.6509173529932196E-2</v>
      </c>
      <c r="G581" s="191">
        <v>5.0406629713095397E-2</v>
      </c>
      <c r="H581" s="191">
        <v>3.849224135054137E-2</v>
      </c>
      <c r="I581" s="191">
        <v>3.6005227961609203E-2</v>
      </c>
      <c r="J581" s="191">
        <v>3.7151133723078031E-2</v>
      </c>
      <c r="K581" s="191">
        <v>3.2936513579305195E-2</v>
      </c>
      <c r="L581" s="191">
        <v>3.2487350660944145E-2</v>
      </c>
      <c r="M581" s="191">
        <v>4.3093058601061336E-2</v>
      </c>
      <c r="N581" s="191">
        <v>4.4396233892734373E-2</v>
      </c>
      <c r="O581" s="191">
        <v>4.4889686558286609E-2</v>
      </c>
      <c r="P581" s="191">
        <v>4.3916614418803457E-2</v>
      </c>
      <c r="Q581" s="191">
        <v>4.8944077422303757E-2</v>
      </c>
    </row>
    <row r="582" spans="1:17" x14ac:dyDescent="0.35">
      <c r="A582" s="238" t="s">
        <v>331</v>
      </c>
      <c r="B582" s="238" t="s">
        <v>374</v>
      </c>
      <c r="C582" s="191">
        <v>2.2931908083904159E-2</v>
      </c>
      <c r="D582" s="191">
        <v>2.2622436350324859E-2</v>
      </c>
      <c r="E582" s="191">
        <v>2.096783126347895E-2</v>
      </c>
      <c r="F582" s="191">
        <v>2.1200116426919404E-2</v>
      </c>
      <c r="G582" s="191">
        <v>2.2831201389171465E-2</v>
      </c>
      <c r="H582" s="191">
        <v>1.7908038621137316E-2</v>
      </c>
      <c r="I582" s="191">
        <v>1.6612837616866733E-2</v>
      </c>
      <c r="J582" s="191">
        <v>1.5609073846054325E-2</v>
      </c>
      <c r="K582" s="191">
        <v>1.7273430847816965E-2</v>
      </c>
      <c r="L582" s="191">
        <v>1.6751498672525022E-2</v>
      </c>
      <c r="M582" s="191">
        <v>2.1446576044583145E-2</v>
      </c>
      <c r="N582" s="191">
        <v>1.9672326657890368E-2</v>
      </c>
      <c r="O582" s="191">
        <v>1.9251023600707035E-2</v>
      </c>
      <c r="P582" s="191">
        <v>1.7985852686757987E-2</v>
      </c>
      <c r="Q582" s="191">
        <v>1.8232748381631827E-2</v>
      </c>
    </row>
    <row r="583" spans="1:17" x14ac:dyDescent="0.35">
      <c r="A583" s="238" t="s">
        <v>330</v>
      </c>
      <c r="B583" s="238" t="s">
        <v>374</v>
      </c>
      <c r="C583" s="191">
        <v>5.140637380793385E-2</v>
      </c>
      <c r="D583" s="191">
        <v>7.8220857100820315E-2</v>
      </c>
      <c r="E583" s="191">
        <v>7.1330297237633886E-2</v>
      </c>
      <c r="F583" s="191">
        <v>6.8910926895334415E-2</v>
      </c>
      <c r="G583" s="191">
        <v>6.3048264548082822E-2</v>
      </c>
      <c r="H583" s="191">
        <v>5.1491687325417791E-2</v>
      </c>
      <c r="I583" s="191">
        <v>4.1873083524578698E-2</v>
      </c>
      <c r="J583" s="191">
        <v>4.009143398935635E-2</v>
      </c>
      <c r="K583" s="191">
        <v>4.4307667575776213E-2</v>
      </c>
      <c r="L583" s="191">
        <v>4.1993344765242843E-2</v>
      </c>
      <c r="M583" s="191">
        <v>5.2294498946927247E-2</v>
      </c>
      <c r="N583" s="191">
        <v>5.1383289960517796E-2</v>
      </c>
      <c r="O583" s="191">
        <v>4.9446733721309644E-2</v>
      </c>
      <c r="P583" s="191">
        <v>4.5065768676422174E-2</v>
      </c>
      <c r="Q583" s="191">
        <v>4.2066680726921296E-2</v>
      </c>
    </row>
    <row r="584" spans="1:17" x14ac:dyDescent="0.35">
      <c r="A584" s="238" t="s">
        <v>329</v>
      </c>
      <c r="B584" s="238" t="s">
        <v>374</v>
      </c>
      <c r="C584" s="191">
        <v>7.0132273245569129E-2</v>
      </c>
      <c r="D584" s="191">
        <v>8.1044415442997633E-2</v>
      </c>
      <c r="E584" s="191">
        <v>8.2727054498478961E-2</v>
      </c>
      <c r="F584" s="191">
        <v>7.8105161798756567E-2</v>
      </c>
      <c r="G584" s="191">
        <v>6.8259002404823466E-2</v>
      </c>
      <c r="H584" s="191">
        <v>6.4722445365145737E-2</v>
      </c>
      <c r="I584" s="191">
        <v>6.3706999890173602E-2</v>
      </c>
      <c r="J584" s="191">
        <v>6.5839758936815013E-2</v>
      </c>
      <c r="K584" s="191">
        <v>7.683234666824508E-2</v>
      </c>
      <c r="L584" s="191">
        <v>7.4295609902528717E-2</v>
      </c>
      <c r="M584" s="191">
        <v>8.6218901772324996E-2</v>
      </c>
      <c r="N584" s="191">
        <v>8.2245173877181568E-2</v>
      </c>
      <c r="O584" s="191">
        <v>7.5880739996091781E-2</v>
      </c>
      <c r="P584" s="191">
        <v>7.5482652006755177E-2</v>
      </c>
      <c r="Q584" s="191">
        <v>6.9146247723087709E-2</v>
      </c>
    </row>
    <row r="585" spans="1:17" x14ac:dyDescent="0.35">
      <c r="A585" s="238" t="s">
        <v>328</v>
      </c>
      <c r="B585" s="238" t="s">
        <v>374</v>
      </c>
      <c r="C585" s="191">
        <v>4.920998564494497E-2</v>
      </c>
      <c r="D585" s="191">
        <v>5.1410919498114153E-2</v>
      </c>
      <c r="E585" s="191">
        <v>4.9644174148658481E-2</v>
      </c>
      <c r="F585" s="191">
        <v>4.7972326347685064E-2</v>
      </c>
      <c r="G585" s="191">
        <v>4.2616684548966229E-2</v>
      </c>
      <c r="H585" s="191">
        <v>3.8718065794993886E-2</v>
      </c>
      <c r="I585" s="191">
        <v>3.6951395118389394E-2</v>
      </c>
      <c r="J585" s="191">
        <v>3.3341191049112706E-2</v>
      </c>
      <c r="K585" s="191">
        <v>4.012472109111849E-2</v>
      </c>
      <c r="L585" s="191">
        <v>3.9428428813557612E-2</v>
      </c>
      <c r="M585" s="191">
        <v>4.8905735335520575E-2</v>
      </c>
      <c r="N585" s="191">
        <v>4.6249785838985681E-2</v>
      </c>
      <c r="O585" s="191">
        <v>4.175277696184828E-2</v>
      </c>
      <c r="P585" s="191">
        <v>4.141778786473526E-2</v>
      </c>
      <c r="Q585" s="191">
        <v>3.9243414545020797E-2</v>
      </c>
    </row>
    <row r="586" spans="1:17" x14ac:dyDescent="0.35">
      <c r="A586" s="238" t="s">
        <v>327</v>
      </c>
      <c r="B586" s="238" t="s">
        <v>374</v>
      </c>
      <c r="C586" s="191">
        <v>0.11996458634785939</v>
      </c>
      <c r="D586" s="191">
        <v>8.5929838665365063E-2</v>
      </c>
      <c r="E586" s="191">
        <v>7.8386728817772769E-2</v>
      </c>
      <c r="F586" s="191">
        <v>8.5686398933456018E-2</v>
      </c>
      <c r="G586" s="191">
        <v>7.8970918996303666E-2</v>
      </c>
      <c r="H586" s="191">
        <v>6.8371123272667103E-2</v>
      </c>
      <c r="I586" s="191">
        <v>6.31457274135446E-2</v>
      </c>
      <c r="J586" s="191">
        <v>6.0414224408576064E-2</v>
      </c>
      <c r="K586" s="191">
        <v>8.316301095814016E-2</v>
      </c>
      <c r="L586" s="191">
        <v>7.8136267500869314E-2</v>
      </c>
      <c r="M586" s="191">
        <v>9.398520749492556E-2</v>
      </c>
      <c r="N586" s="191">
        <v>8.5505334737288552E-2</v>
      </c>
      <c r="O586" s="191">
        <v>8.5078629371388104E-2</v>
      </c>
      <c r="P586" s="191">
        <v>8.1266270816679892E-2</v>
      </c>
      <c r="Q586" s="191">
        <v>7.4991985028164634E-2</v>
      </c>
    </row>
    <row r="587" spans="1:17" x14ac:dyDescent="0.35">
      <c r="A587" s="238" t="s">
        <v>326</v>
      </c>
      <c r="B587" s="238" t="s">
        <v>374</v>
      </c>
      <c r="C587" s="191">
        <v>0</v>
      </c>
      <c r="D587" s="191">
        <v>0</v>
      </c>
      <c r="E587" s="191">
        <v>0</v>
      </c>
      <c r="F587" s="191">
        <v>0</v>
      </c>
      <c r="G587" s="191">
        <v>0</v>
      </c>
      <c r="H587" s="191">
        <v>0</v>
      </c>
      <c r="I587" s="191">
        <v>0</v>
      </c>
      <c r="J587" s="191">
        <v>0</v>
      </c>
      <c r="K587" s="191">
        <v>0</v>
      </c>
      <c r="L587" s="191">
        <v>0</v>
      </c>
      <c r="M587" s="191">
        <v>0</v>
      </c>
      <c r="N587" s="191">
        <v>0</v>
      </c>
      <c r="O587" s="191">
        <v>0</v>
      </c>
      <c r="P587" s="191">
        <v>0</v>
      </c>
      <c r="Q587" s="191">
        <v>0</v>
      </c>
    </row>
    <row r="588" spans="1:17" x14ac:dyDescent="0.35">
      <c r="A588" s="238" t="s">
        <v>325</v>
      </c>
      <c r="B588" s="238" t="s">
        <v>374</v>
      </c>
      <c r="C588" s="191">
        <v>0.28232282989033719</v>
      </c>
      <c r="D588" s="191">
        <v>0.25123445651125059</v>
      </c>
      <c r="E588" s="191">
        <v>0.24137842330099304</v>
      </c>
      <c r="F588" s="191">
        <v>0.23343484834169151</v>
      </c>
      <c r="G588" s="191">
        <v>0.22023449883308455</v>
      </c>
      <c r="H588" s="191">
        <v>0.21845925295439553</v>
      </c>
      <c r="I588" s="191">
        <v>0.22553700881985245</v>
      </c>
      <c r="J588" s="191">
        <v>0.2102339133484572</v>
      </c>
      <c r="K588" s="191">
        <v>0.20653017586269665</v>
      </c>
      <c r="L588" s="191">
        <v>0.19918889622671282</v>
      </c>
      <c r="M588" s="191">
        <v>0.16979429494789597</v>
      </c>
      <c r="N588" s="191">
        <v>0.16818388744898294</v>
      </c>
      <c r="O588" s="191">
        <v>0.16350957840567598</v>
      </c>
      <c r="P588" s="191">
        <v>0.1596614113764023</v>
      </c>
      <c r="Q588" s="191">
        <v>0.15890143915596383</v>
      </c>
    </row>
    <row r="589" spans="1:17" x14ac:dyDescent="0.35">
      <c r="A589" s="238" t="s">
        <v>360</v>
      </c>
      <c r="B589" s="238" t="s">
        <v>85</v>
      </c>
      <c r="C589" s="191">
        <v>3.329337118908045</v>
      </c>
      <c r="D589" s="191">
        <v>3.3306756840508078</v>
      </c>
      <c r="E589" s="191">
        <v>3.3056876138324642</v>
      </c>
      <c r="F589" s="191">
        <v>3.1199531685254867</v>
      </c>
      <c r="G589" s="191">
        <v>3.0241068932783115</v>
      </c>
      <c r="H589" s="191">
        <v>2.9132977194955831</v>
      </c>
      <c r="I589" s="191">
        <v>2.9134123728860097</v>
      </c>
      <c r="J589" s="191">
        <v>2.8418511504522566</v>
      </c>
      <c r="K589" s="191">
        <v>2.8640713010356338</v>
      </c>
      <c r="L589" s="191">
        <v>2.9121439587818303</v>
      </c>
      <c r="M589" s="191">
        <v>2.8766896473028623</v>
      </c>
      <c r="N589" s="191">
        <v>2.8180790690079416</v>
      </c>
      <c r="O589" s="191">
        <v>2.7650218349970377</v>
      </c>
      <c r="P589" s="191">
        <v>2.7161880952739428</v>
      </c>
      <c r="Q589" s="191">
        <v>2.6291186340338735</v>
      </c>
    </row>
    <row r="590" spans="1:17" x14ac:dyDescent="0.35">
      <c r="A590" s="238" t="s">
        <v>359</v>
      </c>
      <c r="B590" s="238" t="s">
        <v>85</v>
      </c>
      <c r="C590" s="191">
        <v>1.3413625829616129</v>
      </c>
      <c r="D590" s="191">
        <v>1.3031888788382189</v>
      </c>
      <c r="E590" s="191">
        <v>1.430442507336978</v>
      </c>
      <c r="F590" s="191">
        <v>1.3586221542833017</v>
      </c>
      <c r="G590" s="191">
        <v>1.2683375830030548</v>
      </c>
      <c r="H590" s="191">
        <v>1.1904792850612582</v>
      </c>
      <c r="I590" s="191">
        <v>1.3060180798221765</v>
      </c>
      <c r="J590" s="191">
        <v>1.3125273787385903</v>
      </c>
      <c r="K590" s="191">
        <v>1.2362762669247982</v>
      </c>
      <c r="L590" s="191">
        <v>1.2020515629065311</v>
      </c>
      <c r="M590" s="191">
        <v>1.243794594549829</v>
      </c>
      <c r="N590" s="191">
        <v>1.1279633790764654</v>
      </c>
      <c r="O590" s="191">
        <v>1.1888499764514466</v>
      </c>
      <c r="P590" s="191">
        <v>1.1056716925600512</v>
      </c>
      <c r="Q590" s="191">
        <v>1.1957022090658815</v>
      </c>
    </row>
    <row r="591" spans="1:17" x14ac:dyDescent="0.35">
      <c r="A591" s="238" t="s">
        <v>358</v>
      </c>
      <c r="B591" s="238" t="s">
        <v>85</v>
      </c>
      <c r="C591" s="191">
        <v>0.51411063129055135</v>
      </c>
      <c r="D591" s="191">
        <v>0.60359852932462099</v>
      </c>
      <c r="E591" s="191">
        <v>0.58756303128799447</v>
      </c>
      <c r="F591" s="191">
        <v>0.55807472473886433</v>
      </c>
      <c r="G591" s="191">
        <v>0.54154002954268288</v>
      </c>
      <c r="H591" s="191">
        <v>0.52645423448049089</v>
      </c>
      <c r="I591" s="191">
        <v>0.51761748532985008</v>
      </c>
      <c r="J591" s="191">
        <v>0.53572801653259761</v>
      </c>
      <c r="K591" s="191">
        <v>0.50533322563712435</v>
      </c>
      <c r="L591" s="191">
        <v>0.50504674055350063</v>
      </c>
      <c r="M591" s="191">
        <v>0.4624651436890585</v>
      </c>
      <c r="N591" s="191">
        <v>0.43955110647063045</v>
      </c>
      <c r="O591" s="191">
        <v>0.42118216704593731</v>
      </c>
      <c r="P591" s="191">
        <v>0.43365936067900906</v>
      </c>
      <c r="Q591" s="191">
        <v>0.43695490528792386</v>
      </c>
    </row>
    <row r="592" spans="1:17" x14ac:dyDescent="0.35">
      <c r="A592" s="238" t="s">
        <v>357</v>
      </c>
      <c r="B592" s="238" t="s">
        <v>85</v>
      </c>
      <c r="C592" s="191">
        <v>0.88069213882818553</v>
      </c>
      <c r="D592" s="191">
        <v>0.87562149543605072</v>
      </c>
      <c r="E592" s="191">
        <v>0.84935989897980391</v>
      </c>
      <c r="F592" s="191">
        <v>0.84940158439921098</v>
      </c>
      <c r="G592" s="191">
        <v>0.81777309020518418</v>
      </c>
      <c r="H592" s="191">
        <v>0.76836618379024724</v>
      </c>
      <c r="I592" s="191">
        <v>0.73855807522971706</v>
      </c>
      <c r="J592" s="191">
        <v>0.72665381855934053</v>
      </c>
      <c r="K592" s="191">
        <v>0.68588667957684901</v>
      </c>
      <c r="L592" s="191">
        <v>0.67501748857633681</v>
      </c>
      <c r="M592" s="191">
        <v>0.57723136199643765</v>
      </c>
      <c r="N592" s="191">
        <v>0.49424788704819672</v>
      </c>
      <c r="O592" s="191">
        <v>0.43809429045334269</v>
      </c>
      <c r="P592" s="191">
        <v>0.39844988236830109</v>
      </c>
      <c r="Q592" s="191">
        <v>0.39044188652557815</v>
      </c>
    </row>
    <row r="593" spans="1:17" x14ac:dyDescent="0.35">
      <c r="A593" s="238" t="s">
        <v>356</v>
      </c>
      <c r="B593" s="238" t="s">
        <v>85</v>
      </c>
      <c r="C593" s="191">
        <v>0.54391220639919102</v>
      </c>
      <c r="D593" s="191">
        <v>0.53401879408293651</v>
      </c>
      <c r="E593" s="191">
        <v>0.51164960722122177</v>
      </c>
      <c r="F593" s="191">
        <v>0.52831725640535021</v>
      </c>
      <c r="G593" s="191">
        <v>0.52680124791452998</v>
      </c>
      <c r="H593" s="191">
        <v>0.51609201162382845</v>
      </c>
      <c r="I593" s="191">
        <v>0.48398760138884611</v>
      </c>
      <c r="J593" s="191">
        <v>0.49037188073012172</v>
      </c>
      <c r="K593" s="191">
        <v>0.47278823455177815</v>
      </c>
      <c r="L593" s="191">
        <v>0.48650732038204203</v>
      </c>
      <c r="M593" s="191">
        <v>0.4456619609063785</v>
      </c>
      <c r="N593" s="191">
        <v>0.38300531633542345</v>
      </c>
      <c r="O593" s="191">
        <v>0.34493136665614327</v>
      </c>
      <c r="P593" s="191">
        <v>0.33242252290944396</v>
      </c>
      <c r="Q593" s="191">
        <v>0.32373966589948894</v>
      </c>
    </row>
    <row r="594" spans="1:17" x14ac:dyDescent="0.35">
      <c r="A594" s="238" t="s">
        <v>355</v>
      </c>
      <c r="B594" s="238" t="s">
        <v>85</v>
      </c>
      <c r="C594" s="191">
        <v>0.85318441829558767</v>
      </c>
      <c r="D594" s="191">
        <v>0.87186235588606187</v>
      </c>
      <c r="E594" s="191">
        <v>0.8991039249103806</v>
      </c>
      <c r="F594" s="191">
        <v>0.88871239962734849</v>
      </c>
      <c r="G594" s="191">
        <v>0.84005861681508343</v>
      </c>
      <c r="H594" s="191">
        <v>0.73603871728838266</v>
      </c>
      <c r="I594" s="191">
        <v>0.76291955546117129</v>
      </c>
      <c r="J594" s="191">
        <v>0.71789195765427172</v>
      </c>
      <c r="K594" s="191">
        <v>0.67497176814392201</v>
      </c>
      <c r="L594" s="191">
        <v>0.69695051179426271</v>
      </c>
      <c r="M594" s="191">
        <v>0.62884688417297896</v>
      </c>
      <c r="N594" s="191">
        <v>0.5627407956041065</v>
      </c>
      <c r="O594" s="191">
        <v>0.52058814846270263</v>
      </c>
      <c r="P594" s="191">
        <v>0.59458478543297322</v>
      </c>
      <c r="Q594" s="191">
        <v>0.57342542058613744</v>
      </c>
    </row>
    <row r="595" spans="1:17" x14ac:dyDescent="0.35">
      <c r="A595" s="238" t="s">
        <v>354</v>
      </c>
      <c r="B595" s="238" t="s">
        <v>85</v>
      </c>
      <c r="C595" s="191">
        <v>0.77252485796172632</v>
      </c>
      <c r="D595" s="191">
        <v>0.78299208256016994</v>
      </c>
      <c r="E595" s="191">
        <v>0.71588470498280998</v>
      </c>
      <c r="F595" s="191">
        <v>0.66583197128907257</v>
      </c>
      <c r="G595" s="191">
        <v>0.61096437184135288</v>
      </c>
      <c r="H595" s="191">
        <v>0.62755126054194332</v>
      </c>
      <c r="I595" s="191">
        <v>0.62744336305576076</v>
      </c>
      <c r="J595" s="191">
        <v>0.63173040715881812</v>
      </c>
      <c r="K595" s="191">
        <v>0.62324526888140719</v>
      </c>
      <c r="L595" s="191">
        <v>0.60556557281528756</v>
      </c>
      <c r="M595" s="191">
        <v>0.59413476932761067</v>
      </c>
      <c r="N595" s="191">
        <v>0.52737762483550366</v>
      </c>
      <c r="O595" s="191">
        <v>0.46757601807516358</v>
      </c>
      <c r="P595" s="191">
        <v>0.44067615705964414</v>
      </c>
      <c r="Q595" s="191">
        <v>0.41270602490992608</v>
      </c>
    </row>
    <row r="596" spans="1:17" x14ac:dyDescent="0.35">
      <c r="A596" s="238" t="s">
        <v>353</v>
      </c>
      <c r="B596" s="238" t="s">
        <v>85</v>
      </c>
      <c r="C596" s="191">
        <v>11.7231108444282</v>
      </c>
      <c r="D596" s="191">
        <v>11.564060149591148</v>
      </c>
      <c r="E596" s="191">
        <v>11.340352092537033</v>
      </c>
      <c r="F596" s="191">
        <v>11.563164910084271</v>
      </c>
      <c r="G596" s="191">
        <v>10.864766657178281</v>
      </c>
      <c r="H596" s="191">
        <v>10.78734421352214</v>
      </c>
      <c r="I596" s="191">
        <v>10.422426170714616</v>
      </c>
      <c r="J596" s="191">
        <v>10.134797628348251</v>
      </c>
      <c r="K596" s="191">
        <v>10.646299993259092</v>
      </c>
      <c r="L596" s="191">
        <v>9.8768920678412453</v>
      </c>
      <c r="M596" s="191">
        <v>9.2831294824086097</v>
      </c>
      <c r="N596" s="191">
        <v>8.2189570606951214</v>
      </c>
      <c r="O596" s="191">
        <v>8.2516133565057679</v>
      </c>
      <c r="P596" s="191">
        <v>6.4467319348305514</v>
      </c>
      <c r="Q596" s="191">
        <v>7.1925140018616132</v>
      </c>
    </row>
    <row r="597" spans="1:17" x14ac:dyDescent="0.35">
      <c r="A597" s="238" t="s">
        <v>352</v>
      </c>
      <c r="B597" s="238" t="s">
        <v>85</v>
      </c>
      <c r="C597" s="191">
        <v>1.6141045942860075</v>
      </c>
      <c r="D597" s="191">
        <v>1.6909110512942793</v>
      </c>
      <c r="E597" s="191">
        <v>1.5722298625354969</v>
      </c>
      <c r="F597" s="191">
        <v>1.5122922448899447</v>
      </c>
      <c r="G597" s="191">
        <v>1.444844708751819</v>
      </c>
      <c r="H597" s="191">
        <v>1.6245028626437592</v>
      </c>
      <c r="I597" s="191">
        <v>1.6194445026822364</v>
      </c>
      <c r="J597" s="191">
        <v>1.5954316796075378</v>
      </c>
      <c r="K597" s="191">
        <v>1.5077553991312074</v>
      </c>
      <c r="L597" s="191">
        <v>1.4466087946389843</v>
      </c>
      <c r="M597" s="191">
        <v>1.4173573214290192</v>
      </c>
      <c r="N597" s="191">
        <v>1.3253081564925795</v>
      </c>
      <c r="O597" s="191">
        <v>1.1517646687971657</v>
      </c>
      <c r="P597" s="191">
        <v>1.1532075599936515</v>
      </c>
      <c r="Q597" s="191">
        <v>1.147877898612611</v>
      </c>
    </row>
    <row r="598" spans="1:17" x14ac:dyDescent="0.35">
      <c r="A598" s="238" t="s">
        <v>351</v>
      </c>
      <c r="B598" s="238" t="s">
        <v>85</v>
      </c>
      <c r="C598" s="191">
        <v>2.0749667593158301</v>
      </c>
      <c r="D598" s="191">
        <v>2.0471013607839823</v>
      </c>
      <c r="E598" s="191">
        <v>2.1060098875889803</v>
      </c>
      <c r="F598" s="191">
        <v>2.0250070773864786</v>
      </c>
      <c r="G598" s="191">
        <v>1.9256772798330721</v>
      </c>
      <c r="H598" s="191">
        <v>1.7744313808070888</v>
      </c>
      <c r="I598" s="191">
        <v>1.8326844748437345</v>
      </c>
      <c r="J598" s="191">
        <v>1.8302390102895039</v>
      </c>
      <c r="K598" s="191">
        <v>1.7403618599700157</v>
      </c>
      <c r="L598" s="191">
        <v>1.7490444809705308</v>
      </c>
      <c r="M598" s="191">
        <v>1.6296472792826477</v>
      </c>
      <c r="N598" s="191">
        <v>1.5410729153480742</v>
      </c>
      <c r="O598" s="191">
        <v>1.5237976565833209</v>
      </c>
      <c r="P598" s="191">
        <v>1.4965650486610333</v>
      </c>
      <c r="Q598" s="191">
        <v>1.5970725518602833</v>
      </c>
    </row>
    <row r="599" spans="1:17" x14ac:dyDescent="0.35">
      <c r="A599" s="238" t="s">
        <v>350</v>
      </c>
      <c r="B599" s="238" t="s">
        <v>85</v>
      </c>
      <c r="C599" s="191">
        <v>2.1960551224028317</v>
      </c>
      <c r="D599" s="191">
        <v>2.209369279652865</v>
      </c>
      <c r="E599" s="191">
        <v>2.201003613289866</v>
      </c>
      <c r="F599" s="191">
        <v>2.2289873773480102</v>
      </c>
      <c r="G599" s="191">
        <v>2.1821664335257971</v>
      </c>
      <c r="H599" s="191">
        <v>2.1257966391856642</v>
      </c>
      <c r="I599" s="191">
        <v>2.1359411638668431</v>
      </c>
      <c r="J599" s="191">
        <v>2.1895788315277644</v>
      </c>
      <c r="K599" s="191">
        <v>2.0588368623674085</v>
      </c>
      <c r="L599" s="191">
        <v>2.1493899324017471</v>
      </c>
      <c r="M599" s="191">
        <v>2.0441249778280559</v>
      </c>
      <c r="N599" s="191">
        <v>1.9443217660087966</v>
      </c>
      <c r="O599" s="191">
        <v>1.7825558242556516</v>
      </c>
      <c r="P599" s="191">
        <v>1.7966578022890931</v>
      </c>
      <c r="Q599" s="191">
        <v>1.784985510455616</v>
      </c>
    </row>
    <row r="600" spans="1:17" x14ac:dyDescent="0.35">
      <c r="A600" s="238" t="s">
        <v>349</v>
      </c>
      <c r="B600" s="238" t="s">
        <v>85</v>
      </c>
      <c r="C600" s="191">
        <v>0.72411950624118482</v>
      </c>
      <c r="D600" s="191">
        <v>0.73756354943336311</v>
      </c>
      <c r="E600" s="191">
        <v>0.70321440257101975</v>
      </c>
      <c r="F600" s="191">
        <v>0.67192891190304027</v>
      </c>
      <c r="G600" s="191">
        <v>0.6670717802584506</v>
      </c>
      <c r="H600" s="191">
        <v>0.61169863171995476</v>
      </c>
      <c r="I600" s="191">
        <v>0.57404540826430639</v>
      </c>
      <c r="J600" s="191">
        <v>0.58170066678902266</v>
      </c>
      <c r="K600" s="191">
        <v>0.58715981572456033</v>
      </c>
      <c r="L600" s="191">
        <v>0.56817595167598733</v>
      </c>
      <c r="M600" s="191">
        <v>0.52793235104895453</v>
      </c>
      <c r="N600" s="191">
        <v>0.48096034933659615</v>
      </c>
      <c r="O600" s="191">
        <v>0.43139591423844648</v>
      </c>
      <c r="P600" s="191">
        <v>0.42793579021142536</v>
      </c>
      <c r="Q600" s="191">
        <v>0.3892597105315791</v>
      </c>
    </row>
    <row r="601" spans="1:17" x14ac:dyDescent="0.35">
      <c r="A601" s="238" t="s">
        <v>348</v>
      </c>
      <c r="B601" s="238" t="s">
        <v>85</v>
      </c>
      <c r="C601" s="191">
        <v>0.42382675349627796</v>
      </c>
      <c r="D601" s="191">
        <v>0.43122964165918515</v>
      </c>
      <c r="E601" s="191">
        <v>0.4024212807620231</v>
      </c>
      <c r="F601" s="191">
        <v>0.3864226855321285</v>
      </c>
      <c r="G601" s="191">
        <v>0.36515619585186909</v>
      </c>
      <c r="H601" s="191">
        <v>0.32735529906108074</v>
      </c>
      <c r="I601" s="191">
        <v>0.3280616894183554</v>
      </c>
      <c r="J601" s="191">
        <v>0.33543565446198997</v>
      </c>
      <c r="K601" s="191">
        <v>0.30154676332213592</v>
      </c>
      <c r="L601" s="191">
        <v>0.26741820406262334</v>
      </c>
      <c r="M601" s="191">
        <v>0.24156298078554952</v>
      </c>
      <c r="N601" s="191">
        <v>0.21311040005375667</v>
      </c>
      <c r="O601" s="191">
        <v>0.18742559719366739</v>
      </c>
      <c r="P601" s="191">
        <v>0.18467487948687933</v>
      </c>
      <c r="Q601" s="191">
        <v>0.19970663635058034</v>
      </c>
    </row>
    <row r="602" spans="1:17" x14ac:dyDescent="0.35">
      <c r="A602" s="238" t="s">
        <v>347</v>
      </c>
      <c r="B602" s="238" t="s">
        <v>85</v>
      </c>
      <c r="C602" s="191">
        <v>0.47801983823568478</v>
      </c>
      <c r="D602" s="191">
        <v>0.46567339281291681</v>
      </c>
      <c r="E602" s="191">
        <v>0.42951861678564707</v>
      </c>
      <c r="F602" s="191">
        <v>0.40692686532943895</v>
      </c>
      <c r="G602" s="191">
        <v>0.35019420852629951</v>
      </c>
      <c r="H602" s="191">
        <v>0.29485348375090992</v>
      </c>
      <c r="I602" s="191">
        <v>0.30240748483115681</v>
      </c>
      <c r="J602" s="191">
        <v>0.29650724855496752</v>
      </c>
      <c r="K602" s="191">
        <v>0.25968462065337877</v>
      </c>
      <c r="L602" s="191">
        <v>0.24143762875863975</v>
      </c>
      <c r="M602" s="191">
        <v>0.2025018460671438</v>
      </c>
      <c r="N602" s="191">
        <v>0.17409890423093224</v>
      </c>
      <c r="O602" s="191">
        <v>0.15556729617604012</v>
      </c>
      <c r="P602" s="191">
        <v>0.15031456794290005</v>
      </c>
      <c r="Q602" s="191">
        <v>0.16111787204701797</v>
      </c>
    </row>
    <row r="603" spans="1:17" x14ac:dyDescent="0.35">
      <c r="A603" s="238" t="s">
        <v>346</v>
      </c>
      <c r="B603" s="238" t="s">
        <v>85</v>
      </c>
      <c r="C603" s="191">
        <v>0.28330009685739516</v>
      </c>
      <c r="D603" s="191">
        <v>0.28893704651021057</v>
      </c>
      <c r="E603" s="191">
        <v>0.27739306932805141</v>
      </c>
      <c r="F603" s="191">
        <v>0.28170554050566016</v>
      </c>
      <c r="G603" s="191">
        <v>0.2640356328569094</v>
      </c>
      <c r="H603" s="191">
        <v>0.26617313675337534</v>
      </c>
      <c r="I603" s="191">
        <v>0.26283685026058545</v>
      </c>
      <c r="J603" s="191">
        <v>0.25642232726213232</v>
      </c>
      <c r="K603" s="191">
        <v>0.23022043038243301</v>
      </c>
      <c r="L603" s="191">
        <v>0.20440510127256015</v>
      </c>
      <c r="M603" s="191">
        <v>0.18441103774116221</v>
      </c>
      <c r="N603" s="191">
        <v>0.164381507678766</v>
      </c>
      <c r="O603" s="191">
        <v>0.13916350423569543</v>
      </c>
      <c r="P603" s="191">
        <v>0.13915089157188737</v>
      </c>
      <c r="Q603" s="191">
        <v>0.14861014064157796</v>
      </c>
    </row>
    <row r="604" spans="1:17" x14ac:dyDescent="0.35">
      <c r="A604" s="238" t="s">
        <v>345</v>
      </c>
      <c r="B604" s="238" t="s">
        <v>85</v>
      </c>
      <c r="C604" s="191">
        <v>2.1439231260394123</v>
      </c>
      <c r="D604" s="191">
        <v>2.1822559556740875</v>
      </c>
      <c r="E604" s="191">
        <v>2.1474962473193537</v>
      </c>
      <c r="F604" s="191">
        <v>2.07879094938377</v>
      </c>
      <c r="G604" s="191">
        <v>1.9729110855454219</v>
      </c>
      <c r="H604" s="191">
        <v>1.8619188110702514</v>
      </c>
      <c r="I604" s="191">
        <v>1.9425922821998154</v>
      </c>
      <c r="J604" s="191">
        <v>1.9697176408084243</v>
      </c>
      <c r="K604" s="191">
        <v>2.0376165598787592</v>
      </c>
      <c r="L604" s="191">
        <v>1.9143895352629738</v>
      </c>
      <c r="M604" s="191">
        <v>1.9587050999351112</v>
      </c>
      <c r="N604" s="191">
        <v>1.828934743240394</v>
      </c>
      <c r="O604" s="191">
        <v>1.7881466556469001</v>
      </c>
      <c r="P604" s="191">
        <v>1.7799236844600743</v>
      </c>
      <c r="Q604" s="191">
        <v>1.5368705908613469</v>
      </c>
    </row>
    <row r="605" spans="1:17" x14ac:dyDescent="0.35">
      <c r="A605" s="238" t="s">
        <v>344</v>
      </c>
      <c r="B605" s="238" t="s">
        <v>85</v>
      </c>
      <c r="C605" s="191">
        <v>0.64790005100519255</v>
      </c>
      <c r="D605" s="191">
        <v>0.78883520055337264</v>
      </c>
      <c r="E605" s="191">
        <v>0.49103805025545127</v>
      </c>
      <c r="F605" s="191">
        <v>0.76277589525162204</v>
      </c>
      <c r="G605" s="191">
        <v>0.89097141938800994</v>
      </c>
      <c r="H605" s="191">
        <v>0.76990917270811965</v>
      </c>
      <c r="I605" s="191">
        <v>0.6930243309961277</v>
      </c>
      <c r="J605" s="191">
        <v>0.74772501220284715</v>
      </c>
      <c r="K605" s="191">
        <v>0.57640560240971872</v>
      </c>
      <c r="L605" s="191">
        <v>0.65008263404951883</v>
      </c>
      <c r="M605" s="191">
        <v>0.59650410699059597</v>
      </c>
      <c r="N605" s="191">
        <v>0.64366011916459775</v>
      </c>
      <c r="O605" s="191">
        <v>0.68778407963169874</v>
      </c>
      <c r="P605" s="191">
        <v>0.52179224384196832</v>
      </c>
      <c r="Q605" s="191">
        <v>0.47998290859530091</v>
      </c>
    </row>
    <row r="606" spans="1:17" x14ac:dyDescent="0.35">
      <c r="A606" s="238" t="s">
        <v>343</v>
      </c>
      <c r="B606" s="238" t="s">
        <v>85</v>
      </c>
      <c r="C606" s="191">
        <v>0.70681405707467759</v>
      </c>
      <c r="D606" s="191">
        <v>0.7227705762434552</v>
      </c>
      <c r="E606" s="191">
        <v>0.72301488589451701</v>
      </c>
      <c r="F606" s="191">
        <v>0.72031166426571591</v>
      </c>
      <c r="G606" s="191">
        <v>0.70794799524653051</v>
      </c>
      <c r="H606" s="191">
        <v>0.6676336719201289</v>
      </c>
      <c r="I606" s="191">
        <v>0.69062884201599528</v>
      </c>
      <c r="J606" s="191">
        <v>0.70744298163740604</v>
      </c>
      <c r="K606" s="191">
        <v>0.69126062466137661</v>
      </c>
      <c r="L606" s="191">
        <v>0.74184131357504079</v>
      </c>
      <c r="M606" s="191">
        <v>0.70672138630202719</v>
      </c>
      <c r="N606" s="191">
        <v>0.69101261278313408</v>
      </c>
      <c r="O606" s="191">
        <v>0.67577428865642708</v>
      </c>
      <c r="P606" s="191">
        <v>0.65295880558989283</v>
      </c>
      <c r="Q606" s="191">
        <v>0.6673692259969749</v>
      </c>
    </row>
    <row r="607" spans="1:17" x14ac:dyDescent="0.35">
      <c r="A607" s="238" t="s">
        <v>342</v>
      </c>
      <c r="B607" s="238" t="s">
        <v>85</v>
      </c>
      <c r="C607" s="191">
        <v>0.65161054737328994</v>
      </c>
      <c r="D607" s="191">
        <v>0.70673316416873311</v>
      </c>
      <c r="E607" s="191">
        <v>0.70522373139226679</v>
      </c>
      <c r="F607" s="191">
        <v>0.70322660732276021</v>
      </c>
      <c r="G607" s="191">
        <v>0.65841094025870339</v>
      </c>
      <c r="H607" s="191">
        <v>0.56880497309231082</v>
      </c>
      <c r="I607" s="191">
        <v>0.59652155625578962</v>
      </c>
      <c r="J607" s="191">
        <v>0.5980643302533083</v>
      </c>
      <c r="K607" s="191">
        <v>0.60417713421690356</v>
      </c>
      <c r="L607" s="191">
        <v>0.53889483382366732</v>
      </c>
      <c r="M607" s="191">
        <v>0.4964532411883088</v>
      </c>
      <c r="N607" s="191">
        <v>0.46913916755357371</v>
      </c>
      <c r="O607" s="191">
        <v>0.45216567018886378</v>
      </c>
      <c r="P607" s="191">
        <v>0.45594784552473833</v>
      </c>
      <c r="Q607" s="191">
        <v>0.48022100606538409</v>
      </c>
    </row>
    <row r="608" spans="1:17" x14ac:dyDescent="0.35">
      <c r="A608" s="238" t="s">
        <v>341</v>
      </c>
      <c r="B608" s="238" t="s">
        <v>85</v>
      </c>
      <c r="C608" s="191">
        <v>0.79950961079964689</v>
      </c>
      <c r="D608" s="191">
        <v>0.82523037453649351</v>
      </c>
      <c r="E608" s="191">
        <v>0.77984951175392514</v>
      </c>
      <c r="F608" s="191">
        <v>0.74444354248593647</v>
      </c>
      <c r="G608" s="191">
        <v>0.72262496148166</v>
      </c>
      <c r="H608" s="191">
        <v>0.65885570391691362</v>
      </c>
      <c r="I608" s="191">
        <v>0.66032783407337436</v>
      </c>
      <c r="J608" s="191">
        <v>0.66781293156181165</v>
      </c>
      <c r="K608" s="191">
        <v>0.62749766633370063</v>
      </c>
      <c r="L608" s="191">
        <v>0.57618314779214619</v>
      </c>
      <c r="M608" s="191">
        <v>0.52272893995392111</v>
      </c>
      <c r="N608" s="191">
        <v>0.48704413516302753</v>
      </c>
      <c r="O608" s="191">
        <v>0.44052754661764881</v>
      </c>
      <c r="P608" s="191">
        <v>0.42128320807997988</v>
      </c>
      <c r="Q608" s="191">
        <v>0.41068203325280145</v>
      </c>
    </row>
    <row r="609" spans="1:17" x14ac:dyDescent="0.35">
      <c r="A609" s="238" t="s">
        <v>340</v>
      </c>
      <c r="B609" s="238" t="s">
        <v>85</v>
      </c>
      <c r="C609" s="191">
        <v>1.446224555441523</v>
      </c>
      <c r="D609" s="191">
        <v>1.4643807252621894</v>
      </c>
      <c r="E609" s="191">
        <v>1.4226249680023841</v>
      </c>
      <c r="F609" s="191">
        <v>1.401696186693699</v>
      </c>
      <c r="G609" s="191">
        <v>1.3626051781347446</v>
      </c>
      <c r="H609" s="191">
        <v>1.2573436676006837</v>
      </c>
      <c r="I609" s="191">
        <v>1.2657825660039099</v>
      </c>
      <c r="J609" s="191">
        <v>1.2930398860925554</v>
      </c>
      <c r="K609" s="191">
        <v>1.2494822721142014</v>
      </c>
      <c r="L609" s="191">
        <v>1.1528856170162061</v>
      </c>
      <c r="M609" s="191">
        <v>1.0185377329007039</v>
      </c>
      <c r="N609" s="191">
        <v>0.95409390358985613</v>
      </c>
      <c r="O609" s="191">
        <v>0.93613252654373491</v>
      </c>
      <c r="P609" s="191">
        <v>0.92000904875279088</v>
      </c>
      <c r="Q609" s="191">
        <v>0.93014667180500676</v>
      </c>
    </row>
    <row r="610" spans="1:17" x14ac:dyDescent="0.35">
      <c r="A610" s="238" t="s">
        <v>339</v>
      </c>
      <c r="B610" s="238" t="s">
        <v>85</v>
      </c>
      <c r="C610" s="191">
        <v>1.4196391790703387</v>
      </c>
      <c r="D610" s="191">
        <v>1.3406818361044612</v>
      </c>
      <c r="E610" s="191">
        <v>1.2874351683880576</v>
      </c>
      <c r="F610" s="191">
        <v>1.2413950506121258</v>
      </c>
      <c r="G610" s="191">
        <v>1.2026812023761946</v>
      </c>
      <c r="H610" s="191">
        <v>1.1181780600825535</v>
      </c>
      <c r="I610" s="191">
        <v>1.1472675222149598</v>
      </c>
      <c r="J610" s="191">
        <v>1.1918494467876615</v>
      </c>
      <c r="K610" s="191">
        <v>1.1724182780827159</v>
      </c>
      <c r="L610" s="191">
        <v>1.1060507580712087</v>
      </c>
      <c r="M610" s="191">
        <v>1.0084245382646344</v>
      </c>
      <c r="N610" s="191">
        <v>0.96007514669581251</v>
      </c>
      <c r="O610" s="191">
        <v>0.92959226413099794</v>
      </c>
      <c r="P610" s="191">
        <v>0.92019211955981883</v>
      </c>
      <c r="Q610" s="191">
        <v>0.94101911196563048</v>
      </c>
    </row>
    <row r="611" spans="1:17" x14ac:dyDescent="0.35">
      <c r="A611" s="238" t="s">
        <v>338</v>
      </c>
      <c r="B611" s="238" t="s">
        <v>85</v>
      </c>
      <c r="C611" s="191">
        <v>5.7845946519045581</v>
      </c>
      <c r="D611" s="191">
        <v>5.8418820039674069</v>
      </c>
      <c r="E611" s="191">
        <v>5.8396176405775932</v>
      </c>
      <c r="F611" s="191">
        <v>5.7234514917421215</v>
      </c>
      <c r="G611" s="191">
        <v>5.6574250503229582</v>
      </c>
      <c r="H611" s="191">
        <v>5.8057991632528827</v>
      </c>
      <c r="I611" s="191">
        <v>5.6637836875220833</v>
      </c>
      <c r="J611" s="191">
        <v>5.7503846112838257</v>
      </c>
      <c r="K611" s="191">
        <v>5.5719388230498144</v>
      </c>
      <c r="L611" s="191">
        <v>5.8230244593915819</v>
      </c>
      <c r="M611" s="191">
        <v>5.9055347417045407</v>
      </c>
      <c r="N611" s="191">
        <v>5.8660706509809222</v>
      </c>
      <c r="O611" s="191">
        <v>5.9862634771655268</v>
      </c>
      <c r="P611" s="191">
        <v>5.7831565767606063</v>
      </c>
      <c r="Q611" s="191">
        <v>6.0399768247247811</v>
      </c>
    </row>
    <row r="612" spans="1:17" x14ac:dyDescent="0.35">
      <c r="A612" s="238" t="s">
        <v>337</v>
      </c>
      <c r="B612" s="238" t="s">
        <v>85</v>
      </c>
      <c r="C612" s="191">
        <v>37.934160872041296</v>
      </c>
      <c r="D612" s="191">
        <v>36.992297636273058</v>
      </c>
      <c r="E612" s="191">
        <v>35.857425977728354</v>
      </c>
      <c r="F612" s="191">
        <v>32.960341803613183</v>
      </c>
      <c r="G612" s="191">
        <v>31.445947900920526</v>
      </c>
      <c r="H612" s="191">
        <v>29.763612221163157</v>
      </c>
      <c r="I612" s="191">
        <v>26.048593193983724</v>
      </c>
      <c r="J612" s="191">
        <v>25.861329225695492</v>
      </c>
      <c r="K612" s="191">
        <v>25.457094352659151</v>
      </c>
      <c r="L612" s="191">
        <v>25.418232855341213</v>
      </c>
      <c r="M612" s="191">
        <v>25.380706133568221</v>
      </c>
      <c r="N612" s="191">
        <v>25.818633973914036</v>
      </c>
      <c r="O612" s="191">
        <v>25.508559284206285</v>
      </c>
      <c r="P612" s="191">
        <v>23.604923335035554</v>
      </c>
      <c r="Q612" s="191">
        <v>23.628451979670505</v>
      </c>
    </row>
    <row r="613" spans="1:17" x14ac:dyDescent="0.35">
      <c r="A613" s="238" t="s">
        <v>336</v>
      </c>
      <c r="B613" s="238" t="s">
        <v>85</v>
      </c>
      <c r="C613" s="191">
        <v>26.715731790170462</v>
      </c>
      <c r="D613" s="191">
        <v>26.568800196988011</v>
      </c>
      <c r="E613" s="191">
        <v>26.328612139720242</v>
      </c>
      <c r="F613" s="191">
        <v>26.223829302523733</v>
      </c>
      <c r="G613" s="191">
        <v>26.197997404918336</v>
      </c>
      <c r="H613" s="191">
        <v>26.067380154584512</v>
      </c>
      <c r="I613" s="191">
        <v>26.789876109447398</v>
      </c>
      <c r="J613" s="191">
        <v>27.715378037620063</v>
      </c>
      <c r="K613" s="191">
        <v>26.232774917101356</v>
      </c>
      <c r="L613" s="191">
        <v>26.350842653034938</v>
      </c>
      <c r="M613" s="191">
        <v>27.148378588319208</v>
      </c>
      <c r="N613" s="191">
        <v>25.86595493563425</v>
      </c>
      <c r="O613" s="191">
        <v>25.117966478688643</v>
      </c>
      <c r="P613" s="191">
        <v>24.98087409172215</v>
      </c>
      <c r="Q613" s="191">
        <v>25.085688402244163</v>
      </c>
    </row>
    <row r="614" spans="1:17" x14ac:dyDescent="0.35">
      <c r="A614" s="238" t="s">
        <v>335</v>
      </c>
      <c r="B614" s="238" t="s">
        <v>85</v>
      </c>
      <c r="C614" s="191">
        <v>2.1229444350330606</v>
      </c>
      <c r="D614" s="191">
        <v>2.1858031309710717</v>
      </c>
      <c r="E614" s="191">
        <v>2.1320401162060647</v>
      </c>
      <c r="F614" s="191">
        <v>2.0554225265739312</v>
      </c>
      <c r="G614" s="191">
        <v>2.3742431385772531</v>
      </c>
      <c r="H614" s="191">
        <v>2.3704724306714251</v>
      </c>
      <c r="I614" s="191">
        <v>2.2833268697576319</v>
      </c>
      <c r="J614" s="191">
        <v>2.3805278259190459</v>
      </c>
      <c r="K614" s="191">
        <v>2.3103006844428888</v>
      </c>
      <c r="L614" s="191">
        <v>2.3597546052719696</v>
      </c>
      <c r="M614" s="191">
        <v>2.4785859564267732</v>
      </c>
      <c r="N614" s="191">
        <v>2.4043233217469235</v>
      </c>
      <c r="O614" s="191">
        <v>2.5167303642472731</v>
      </c>
      <c r="P614" s="191">
        <v>2.4332828425991782</v>
      </c>
      <c r="Q614" s="191">
        <v>2.4998329347889965</v>
      </c>
    </row>
    <row r="615" spans="1:17" x14ac:dyDescent="0.35">
      <c r="A615" s="238" t="s">
        <v>334</v>
      </c>
      <c r="B615" s="238" t="s">
        <v>85</v>
      </c>
      <c r="C615" s="191">
        <v>0.76886646981404705</v>
      </c>
      <c r="D615" s="191">
        <v>0.70454173189229907</v>
      </c>
      <c r="E615" s="191">
        <v>0.71949752871309913</v>
      </c>
      <c r="F615" s="191">
        <v>0.68611964200790299</v>
      </c>
      <c r="G615" s="191">
        <v>0.70929639175439541</v>
      </c>
      <c r="H615" s="191">
        <v>0.65454194016410705</v>
      </c>
      <c r="I615" s="191">
        <v>0.63475487629498506</v>
      </c>
      <c r="J615" s="191">
        <v>0.56344059565800675</v>
      </c>
      <c r="K615" s="191">
        <v>0.54962587143688779</v>
      </c>
      <c r="L615" s="191">
        <v>0.56912311269488747</v>
      </c>
      <c r="M615" s="191">
        <v>0.50390554912474184</v>
      </c>
      <c r="N615" s="191">
        <v>0.47436216458453412</v>
      </c>
      <c r="O615" s="191">
        <v>0.45441605111897648</v>
      </c>
      <c r="P615" s="191">
        <v>0.43633707727079862</v>
      </c>
      <c r="Q615" s="191">
        <v>0.42985268631370466</v>
      </c>
    </row>
    <row r="616" spans="1:17" x14ac:dyDescent="0.35">
      <c r="A616" s="238" t="s">
        <v>333</v>
      </c>
      <c r="B616" s="238" t="s">
        <v>85</v>
      </c>
      <c r="C616" s="191">
        <v>0.39026415355035748</v>
      </c>
      <c r="D616" s="191">
        <v>0.39105057361588785</v>
      </c>
      <c r="E616" s="191">
        <v>0.36928625271596555</v>
      </c>
      <c r="F616" s="191">
        <v>0.35901968327869749</v>
      </c>
      <c r="G616" s="191">
        <v>0.33113307050681839</v>
      </c>
      <c r="H616" s="191">
        <v>0.29286859851461361</v>
      </c>
      <c r="I616" s="191">
        <v>0.29177797558357049</v>
      </c>
      <c r="J616" s="191">
        <v>0.29868082636364557</v>
      </c>
      <c r="K616" s="191">
        <v>0.29020836840451192</v>
      </c>
      <c r="L616" s="191">
        <v>0.26600477549860785</v>
      </c>
      <c r="M616" s="191">
        <v>0.23489360829412367</v>
      </c>
      <c r="N616" s="191">
        <v>0.21865593642713602</v>
      </c>
      <c r="O616" s="191">
        <v>0.2028196283561895</v>
      </c>
      <c r="P616" s="191">
        <v>0.19794825830942292</v>
      </c>
      <c r="Q616" s="191">
        <v>0.18964237442788068</v>
      </c>
    </row>
    <row r="617" spans="1:17" x14ac:dyDescent="0.35">
      <c r="A617" s="238" t="s">
        <v>332</v>
      </c>
      <c r="B617" s="238" t="s">
        <v>85</v>
      </c>
      <c r="C617" s="191">
        <v>0.1409964245790585</v>
      </c>
      <c r="D617" s="191">
        <v>0.14439320564947894</v>
      </c>
      <c r="E617" s="191">
        <v>0.14063164520472649</v>
      </c>
      <c r="F617" s="191">
        <v>0.13509166535454392</v>
      </c>
      <c r="G617" s="191">
        <v>0.12889583486092351</v>
      </c>
      <c r="H617" s="191">
        <v>0.11690815269898912</v>
      </c>
      <c r="I617" s="191">
        <v>0.11608242310919194</v>
      </c>
      <c r="J617" s="191">
        <v>0.11967779600337494</v>
      </c>
      <c r="K617" s="191">
        <v>0.12119155409114757</v>
      </c>
      <c r="L617" s="191">
        <v>0.11743942535448604</v>
      </c>
      <c r="M617" s="191">
        <v>0.12178078876475229</v>
      </c>
      <c r="N617" s="191">
        <v>0.12048154605461525</v>
      </c>
      <c r="O617" s="191">
        <v>0.11657170991065724</v>
      </c>
      <c r="P617" s="191">
        <v>9.7986345475288034E-2</v>
      </c>
      <c r="Q617" s="191">
        <v>9.7973538052665676E-2</v>
      </c>
    </row>
    <row r="618" spans="1:17" x14ac:dyDescent="0.35">
      <c r="A618" s="238" t="s">
        <v>331</v>
      </c>
      <c r="B618" s="238" t="s">
        <v>85</v>
      </c>
      <c r="C618" s="191">
        <v>0.83315093747899083</v>
      </c>
      <c r="D618" s="191">
        <v>0.82949136163512505</v>
      </c>
      <c r="E618" s="191">
        <v>0.80494352018793058</v>
      </c>
      <c r="F618" s="191">
        <v>0.79704439629920842</v>
      </c>
      <c r="G618" s="191">
        <v>0.77209274057586819</v>
      </c>
      <c r="H618" s="191">
        <v>0.72002469357120613</v>
      </c>
      <c r="I618" s="191">
        <v>0.70934411155223498</v>
      </c>
      <c r="J618" s="191">
        <v>0.71335502524790706</v>
      </c>
      <c r="K618" s="191">
        <v>0.6943767987662407</v>
      </c>
      <c r="L618" s="191">
        <v>0.66225432726145106</v>
      </c>
      <c r="M618" s="191">
        <v>0.59535196733365403</v>
      </c>
      <c r="N618" s="191">
        <v>0.56441810142975191</v>
      </c>
      <c r="O618" s="191">
        <v>0.53200285626341559</v>
      </c>
      <c r="P618" s="191">
        <v>0.51764878653532875</v>
      </c>
      <c r="Q618" s="191">
        <v>0.51290373038879455</v>
      </c>
    </row>
    <row r="619" spans="1:17" x14ac:dyDescent="0.35">
      <c r="A619" s="238" t="s">
        <v>330</v>
      </c>
      <c r="B619" s="238" t="s">
        <v>85</v>
      </c>
      <c r="C619" s="191">
        <v>1.188054173776091</v>
      </c>
      <c r="D619" s="191">
        <v>1.2133749217514826</v>
      </c>
      <c r="E619" s="191">
        <v>1.2293234237135575</v>
      </c>
      <c r="F619" s="191">
        <v>1.2591481738533437</v>
      </c>
      <c r="G619" s="191">
        <v>1.23382876392151</v>
      </c>
      <c r="H619" s="191">
        <v>1.1449859659635278</v>
      </c>
      <c r="I619" s="191">
        <v>1.1773096254040609</v>
      </c>
      <c r="J619" s="191">
        <v>1.0967878132962667</v>
      </c>
      <c r="K619" s="191">
        <v>1.0769636298652006</v>
      </c>
      <c r="L619" s="191">
        <v>1.0096199030034558</v>
      </c>
      <c r="M619" s="191">
        <v>0.93735404731980931</v>
      </c>
      <c r="N619" s="191">
        <v>0.88926193827899258</v>
      </c>
      <c r="O619" s="191">
        <v>0.84704779622647475</v>
      </c>
      <c r="P619" s="191">
        <v>0.82145462265632119</v>
      </c>
      <c r="Q619" s="191">
        <v>0.83999467485834667</v>
      </c>
    </row>
    <row r="620" spans="1:17" x14ac:dyDescent="0.35">
      <c r="A620" s="238" t="s">
        <v>329</v>
      </c>
      <c r="B620" s="238" t="s">
        <v>85</v>
      </c>
      <c r="C620" s="191">
        <v>0.85574008917318845</v>
      </c>
      <c r="D620" s="191">
        <v>0.89468733921139565</v>
      </c>
      <c r="E620" s="191">
        <v>0.89302357080934547</v>
      </c>
      <c r="F620" s="191">
        <v>0.86360083987968606</v>
      </c>
      <c r="G620" s="191">
        <v>0.8440303344467589</v>
      </c>
      <c r="H620" s="191">
        <v>0.83319500407416824</v>
      </c>
      <c r="I620" s="191">
        <v>0.8489841047121085</v>
      </c>
      <c r="J620" s="191">
        <v>0.8783471403593619</v>
      </c>
      <c r="K620" s="191">
        <v>0.90176177654162815</v>
      </c>
      <c r="L620" s="191">
        <v>0.87838587256039136</v>
      </c>
      <c r="M620" s="191">
        <v>0.85785887021101315</v>
      </c>
      <c r="N620" s="191">
        <v>0.84812637305127003</v>
      </c>
      <c r="O620" s="191">
        <v>0.82513106885915921</v>
      </c>
      <c r="P620" s="191">
        <v>0.84202288591120689</v>
      </c>
      <c r="Q620" s="191">
        <v>0.85008308479357209</v>
      </c>
    </row>
    <row r="621" spans="1:17" x14ac:dyDescent="0.35">
      <c r="A621" s="238" t="s">
        <v>328</v>
      </c>
      <c r="B621" s="238" t="s">
        <v>85</v>
      </c>
      <c r="C621" s="191">
        <v>1.0899935382020292</v>
      </c>
      <c r="D621" s="191">
        <v>1.0794120603730522</v>
      </c>
      <c r="E621" s="191">
        <v>1.0621939904932913</v>
      </c>
      <c r="F621" s="191">
        <v>1.08098506648033</v>
      </c>
      <c r="G621" s="191">
        <v>1.0309042029489681</v>
      </c>
      <c r="H621" s="191">
        <v>0.96562095012788807</v>
      </c>
      <c r="I621" s="191">
        <v>0.9759940916694444</v>
      </c>
      <c r="J621" s="191">
        <v>1.0121111492679689</v>
      </c>
      <c r="K621" s="191">
        <v>0.99062717709838399</v>
      </c>
      <c r="L621" s="191">
        <v>0.92367466129088516</v>
      </c>
      <c r="M621" s="191">
        <v>0.82660471051953577</v>
      </c>
      <c r="N621" s="191">
        <v>0.79311826901617344</v>
      </c>
      <c r="O621" s="191">
        <v>0.75362185353498801</v>
      </c>
      <c r="P621" s="191">
        <v>0.74518400210940172</v>
      </c>
      <c r="Q621" s="191">
        <v>0.75385614181159932</v>
      </c>
    </row>
    <row r="622" spans="1:17" x14ac:dyDescent="0.35">
      <c r="A622" s="238" t="s">
        <v>327</v>
      </c>
      <c r="B622" s="238" t="s">
        <v>85</v>
      </c>
      <c r="C622" s="191">
        <v>1.1493987832688457</v>
      </c>
      <c r="D622" s="191">
        <v>1.1737860075312971</v>
      </c>
      <c r="E622" s="191">
        <v>1.1936830991238718</v>
      </c>
      <c r="F622" s="191">
        <v>1.1669876388886751</v>
      </c>
      <c r="G622" s="191">
        <v>1.1358084209938066</v>
      </c>
      <c r="H622" s="191">
        <v>1.0397880554918142</v>
      </c>
      <c r="I622" s="191">
        <v>1.0555258409763975</v>
      </c>
      <c r="J622" s="191">
        <v>1.0882492817835265</v>
      </c>
      <c r="K622" s="191">
        <v>1.0919568464681755</v>
      </c>
      <c r="L622" s="191">
        <v>1.0506014179378114</v>
      </c>
      <c r="M622" s="191">
        <v>0.98112870557456555</v>
      </c>
      <c r="N622" s="191">
        <v>0.94741023077216502</v>
      </c>
      <c r="O622" s="191">
        <v>0.92015855437055172</v>
      </c>
      <c r="P622" s="191">
        <v>0.92576772007057184</v>
      </c>
      <c r="Q622" s="191">
        <v>0.92788804456364082</v>
      </c>
    </row>
    <row r="623" spans="1:17" x14ac:dyDescent="0.35">
      <c r="A623" s="238" t="s">
        <v>326</v>
      </c>
      <c r="B623" s="238" t="s">
        <v>85</v>
      </c>
      <c r="C623" s="191">
        <v>0</v>
      </c>
      <c r="D623" s="191">
        <v>0</v>
      </c>
      <c r="E623" s="191">
        <v>0</v>
      </c>
      <c r="F623" s="191">
        <v>0</v>
      </c>
      <c r="G623" s="191">
        <v>0</v>
      </c>
      <c r="H623" s="191">
        <v>0</v>
      </c>
      <c r="I623" s="191">
        <v>0</v>
      </c>
      <c r="J623" s="191">
        <v>0</v>
      </c>
      <c r="K623" s="191">
        <v>0</v>
      </c>
      <c r="L623" s="191">
        <v>0</v>
      </c>
      <c r="M623" s="191">
        <v>0</v>
      </c>
      <c r="N623" s="191">
        <v>0</v>
      </c>
      <c r="O623" s="191">
        <v>0</v>
      </c>
      <c r="P623" s="191">
        <v>0</v>
      </c>
      <c r="Q623" s="191">
        <v>0</v>
      </c>
    </row>
    <row r="624" spans="1:17" x14ac:dyDescent="0.35">
      <c r="A624" s="238" t="s">
        <v>325</v>
      </c>
      <c r="B624" s="238" t="s">
        <v>85</v>
      </c>
      <c r="C624" s="191">
        <v>1.5508843966847796</v>
      </c>
      <c r="D624" s="191">
        <v>1.5556948948828864</v>
      </c>
      <c r="E624" s="191">
        <v>1.5578351982862975</v>
      </c>
      <c r="F624" s="191">
        <v>1.5042791372701627</v>
      </c>
      <c r="G624" s="191">
        <v>1.5060411887289953</v>
      </c>
      <c r="H624" s="191">
        <v>1.5511271775200266</v>
      </c>
      <c r="I624" s="191">
        <v>1.5568185457238568</v>
      </c>
      <c r="J624" s="191">
        <v>1.5081174224401588</v>
      </c>
      <c r="K624" s="191">
        <v>1.5353915625492116</v>
      </c>
      <c r="L624" s="191">
        <v>1.5819061262182268</v>
      </c>
      <c r="M624" s="191">
        <v>1.6271385692806513</v>
      </c>
      <c r="N624" s="191">
        <v>1.617347923347431</v>
      </c>
      <c r="O624" s="191">
        <v>1.5993523662257938</v>
      </c>
      <c r="P624" s="191">
        <v>1.5810023779187636</v>
      </c>
      <c r="Q624" s="191">
        <v>1.5787787066541221</v>
      </c>
    </row>
    <row r="625" spans="1:17" x14ac:dyDescent="0.35">
      <c r="A625" s="238" t="s">
        <v>360</v>
      </c>
      <c r="B625" s="238" t="s">
        <v>87</v>
      </c>
      <c r="C625" s="191">
        <v>0.21503568578605381</v>
      </c>
      <c r="D625" s="191">
        <v>0.23808543700535903</v>
      </c>
      <c r="E625" s="191">
        <v>0.2249828547013219</v>
      </c>
      <c r="F625" s="191">
        <v>0.21602014550226922</v>
      </c>
      <c r="G625" s="191">
        <v>0.25889017338562903</v>
      </c>
      <c r="H625" s="191">
        <v>0.3259500278002751</v>
      </c>
      <c r="I625" s="191">
        <v>0.30655078994607454</v>
      </c>
      <c r="J625" s="191">
        <v>0.29941530067408895</v>
      </c>
      <c r="K625" s="191">
        <v>0.29300627424600661</v>
      </c>
      <c r="L625" s="191">
        <v>0.28471652291169408</v>
      </c>
      <c r="M625" s="191">
        <v>0.28312899573704253</v>
      </c>
      <c r="N625" s="191">
        <v>0.26547839616943431</v>
      </c>
      <c r="O625" s="191">
        <v>0.27608551847790697</v>
      </c>
      <c r="P625" s="191">
        <v>0.26682611690254887</v>
      </c>
      <c r="Q625" s="191">
        <v>0.2602340811751907</v>
      </c>
    </row>
    <row r="626" spans="1:17" x14ac:dyDescent="0.35">
      <c r="A626" s="238" t="s">
        <v>359</v>
      </c>
      <c r="B626" s="238" t="s">
        <v>87</v>
      </c>
      <c r="C626" s="191">
        <v>4.6907813765998396</v>
      </c>
      <c r="D626" s="191">
        <v>4.6746804913245112</v>
      </c>
      <c r="E626" s="191">
        <v>5.5871149255794439</v>
      </c>
      <c r="F626" s="191">
        <v>6.1914402689815997</v>
      </c>
      <c r="G626" s="191">
        <v>5.6431245548298774</v>
      </c>
      <c r="H626" s="191">
        <v>4.7890750283167876</v>
      </c>
      <c r="I626" s="191">
        <v>5.1750699025163049</v>
      </c>
      <c r="J626" s="191">
        <v>5.3052563936235471</v>
      </c>
      <c r="K626" s="191">
        <v>5.3911873883508452</v>
      </c>
      <c r="L626" s="191">
        <v>5.1603590184720733</v>
      </c>
      <c r="M626" s="191">
        <v>4.8220471051869458</v>
      </c>
      <c r="N626" s="191">
        <v>4.6770875345182183</v>
      </c>
      <c r="O626" s="191">
        <v>4.7839099805081213</v>
      </c>
      <c r="P626" s="191">
        <v>4.2016196787038345</v>
      </c>
      <c r="Q626" s="191">
        <v>4.6627757079169498</v>
      </c>
    </row>
    <row r="627" spans="1:17" x14ac:dyDescent="0.35">
      <c r="A627" s="238" t="s">
        <v>358</v>
      </c>
      <c r="B627" s="238" t="s">
        <v>87</v>
      </c>
      <c r="C627" s="191">
        <v>0.26307121355016561</v>
      </c>
      <c r="D627" s="191">
        <v>0.27482351735400984</v>
      </c>
      <c r="E627" s="191">
        <v>0.27176046941280213</v>
      </c>
      <c r="F627" s="191">
        <v>0.2497142239689453</v>
      </c>
      <c r="G627" s="191">
        <v>0.22989966178122906</v>
      </c>
      <c r="H627" s="191">
        <v>0.36008798415157373</v>
      </c>
      <c r="I627" s="191">
        <v>0.34138601038134442</v>
      </c>
      <c r="J627" s="191">
        <v>0.35473600682539308</v>
      </c>
      <c r="K627" s="191">
        <v>0.36246315037251453</v>
      </c>
      <c r="L627" s="191">
        <v>0.3521274036529059</v>
      </c>
      <c r="M627" s="191">
        <v>0.32192202882420695</v>
      </c>
      <c r="N627" s="191">
        <v>0.33463737309314012</v>
      </c>
      <c r="O627" s="191">
        <v>0.33396681864562816</v>
      </c>
      <c r="P627" s="191">
        <v>0.34726851971209743</v>
      </c>
      <c r="Q627" s="191">
        <v>0.33393465607722361</v>
      </c>
    </row>
    <row r="628" spans="1:17" x14ac:dyDescent="0.35">
      <c r="A628" s="238" t="s">
        <v>357</v>
      </c>
      <c r="B628" s="238" t="s">
        <v>87</v>
      </c>
      <c r="C628" s="191">
        <v>0.22170152798157228</v>
      </c>
      <c r="D628" s="191">
        <v>0.22379747993410981</v>
      </c>
      <c r="E628" s="191">
        <v>0.22194372593124323</v>
      </c>
      <c r="F628" s="191">
        <v>0.20883333924721781</v>
      </c>
      <c r="G628" s="191">
        <v>0.2078195342464195</v>
      </c>
      <c r="H628" s="191">
        <v>0.37449650739686546</v>
      </c>
      <c r="I628" s="191">
        <v>0.35868879703921192</v>
      </c>
      <c r="J628" s="191">
        <v>0.35716516554601063</v>
      </c>
      <c r="K628" s="191">
        <v>0.35225609963601229</v>
      </c>
      <c r="L628" s="191">
        <v>0.33725933736094121</v>
      </c>
      <c r="M628" s="191">
        <v>0.27033511892998141</v>
      </c>
      <c r="N628" s="191">
        <v>0.28071233190325717</v>
      </c>
      <c r="O628" s="191">
        <v>0.23938080094397174</v>
      </c>
      <c r="P628" s="191">
        <v>0.22992445335417921</v>
      </c>
      <c r="Q628" s="191">
        <v>0.23320030953411783</v>
      </c>
    </row>
    <row r="629" spans="1:17" x14ac:dyDescent="0.35">
      <c r="A629" s="238" t="s">
        <v>356</v>
      </c>
      <c r="B629" s="238" t="s">
        <v>87</v>
      </c>
      <c r="C629" s="191">
        <v>9.3549310250431145E-2</v>
      </c>
      <c r="D629" s="191">
        <v>8.5692002026442546E-2</v>
      </c>
      <c r="E629" s="191">
        <v>7.3044511917604638E-2</v>
      </c>
      <c r="F629" s="191">
        <v>7.1365648833244449E-2</v>
      </c>
      <c r="G629" s="191">
        <v>7.1425566818903483E-2</v>
      </c>
      <c r="H629" s="191">
        <v>0.13274807570637964</v>
      </c>
      <c r="I629" s="191">
        <v>0.12685016213423064</v>
      </c>
      <c r="J629" s="191">
        <v>0.13308724152757009</v>
      </c>
      <c r="K629" s="191">
        <v>0.1352147717183019</v>
      </c>
      <c r="L629" s="191">
        <v>0.13128698330208274</v>
      </c>
      <c r="M629" s="191">
        <v>0.11008525329131127</v>
      </c>
      <c r="N629" s="191">
        <v>0.11462176247199041</v>
      </c>
      <c r="O629" s="191">
        <v>8.3617419920913358E-2</v>
      </c>
      <c r="P629" s="191">
        <v>8.4010515158935817E-2</v>
      </c>
      <c r="Q629" s="191">
        <v>8.239602053061558E-2</v>
      </c>
    </row>
    <row r="630" spans="1:17" x14ac:dyDescent="0.35">
      <c r="A630" s="238" t="s">
        <v>355</v>
      </c>
      <c r="B630" s="238" t="s">
        <v>87</v>
      </c>
      <c r="C630" s="191">
        <v>0.16492387728107027</v>
      </c>
      <c r="D630" s="191">
        <v>0.16491848452458757</v>
      </c>
      <c r="E630" s="191">
        <v>0.17214935197061923</v>
      </c>
      <c r="F630" s="191">
        <v>0.15540987441108312</v>
      </c>
      <c r="G630" s="191">
        <v>0.1865545041278503</v>
      </c>
      <c r="H630" s="191">
        <v>0.29532803353441145</v>
      </c>
      <c r="I630" s="191">
        <v>0.27369653544345368</v>
      </c>
      <c r="J630" s="191">
        <v>0.27654305363553544</v>
      </c>
      <c r="K630" s="191">
        <v>0.25044299075958315</v>
      </c>
      <c r="L630" s="191">
        <v>0.26587423710329761</v>
      </c>
      <c r="M630" s="191">
        <v>0.24614252504824943</v>
      </c>
      <c r="N630" s="191">
        <v>0.24691931653079091</v>
      </c>
      <c r="O630" s="191">
        <v>0.2211512839987132</v>
      </c>
      <c r="P630" s="191">
        <v>0.24082680160621636</v>
      </c>
      <c r="Q630" s="191">
        <v>0.24657379451326117</v>
      </c>
    </row>
    <row r="631" spans="1:17" x14ac:dyDescent="0.35">
      <c r="A631" s="238" t="s">
        <v>354</v>
      </c>
      <c r="B631" s="238" t="s">
        <v>87</v>
      </c>
      <c r="C631" s="191">
        <v>0.49244349978622609</v>
      </c>
      <c r="D631" s="191">
        <v>0.50351672823531035</v>
      </c>
      <c r="E631" s="191">
        <v>0.46532168593178991</v>
      </c>
      <c r="F631" s="191">
        <v>0.41659166834751399</v>
      </c>
      <c r="G631" s="191">
        <v>0.4086323731686502</v>
      </c>
      <c r="H631" s="191">
        <v>0.61331765871940802</v>
      </c>
      <c r="I631" s="191">
        <v>0.55917685967485775</v>
      </c>
      <c r="J631" s="191">
        <v>0.57854239292315834</v>
      </c>
      <c r="K631" s="191">
        <v>0.5518005251519551</v>
      </c>
      <c r="L631" s="191">
        <v>0.50419091882615108</v>
      </c>
      <c r="M631" s="191">
        <v>0.46497936329519063</v>
      </c>
      <c r="N631" s="191">
        <v>0.48430099601694454</v>
      </c>
      <c r="O631" s="191">
        <v>0.46559304519517303</v>
      </c>
      <c r="P631" s="191">
        <v>0.46753885808999252</v>
      </c>
      <c r="Q631" s="191">
        <v>0.46051132438150738</v>
      </c>
    </row>
    <row r="632" spans="1:17" x14ac:dyDescent="0.35">
      <c r="A632" s="238" t="s">
        <v>353</v>
      </c>
      <c r="B632" s="238" t="s">
        <v>87</v>
      </c>
      <c r="C632" s="191">
        <v>3.0013130912038961</v>
      </c>
      <c r="D632" s="191">
        <v>3.0136097520997716</v>
      </c>
      <c r="E632" s="191">
        <v>3.0187830548072707</v>
      </c>
      <c r="F632" s="191">
        <v>3.0860044083105795</v>
      </c>
      <c r="G632" s="191">
        <v>2.7827190716347494</v>
      </c>
      <c r="H632" s="191">
        <v>2.8832010213385604</v>
      </c>
      <c r="I632" s="191">
        <v>2.5713728213822455</v>
      </c>
      <c r="J632" s="191">
        <v>2.5578683776855899</v>
      </c>
      <c r="K632" s="191">
        <v>2.5893407230386298</v>
      </c>
      <c r="L632" s="191">
        <v>2.3350796608400692</v>
      </c>
      <c r="M632" s="191">
        <v>2.3657057558749415</v>
      </c>
      <c r="N632" s="191">
        <v>2.1276158587249352</v>
      </c>
      <c r="O632" s="191">
        <v>2.2773583161358864</v>
      </c>
      <c r="P632" s="191">
        <v>1.8019412329015241</v>
      </c>
      <c r="Q632" s="191">
        <v>2.0365279736233033</v>
      </c>
    </row>
    <row r="633" spans="1:17" x14ac:dyDescent="0.35">
      <c r="A633" s="238" t="s">
        <v>352</v>
      </c>
      <c r="B633" s="238" t="s">
        <v>87</v>
      </c>
      <c r="C633" s="191">
        <v>1.4720283824991145</v>
      </c>
      <c r="D633" s="191">
        <v>1.5052003901403945</v>
      </c>
      <c r="E633" s="191">
        <v>1.2273946833603371</v>
      </c>
      <c r="F633" s="191">
        <v>1.0698578280829782</v>
      </c>
      <c r="G633" s="191">
        <v>0.99306009579118193</v>
      </c>
      <c r="H633" s="191">
        <v>1.7935253915292202</v>
      </c>
      <c r="I633" s="191">
        <v>1.6220540746157186</v>
      </c>
      <c r="J633" s="191">
        <v>1.6494410859171633</v>
      </c>
      <c r="K633" s="191">
        <v>1.5954078706124257</v>
      </c>
      <c r="L633" s="191">
        <v>1.4787828774506468</v>
      </c>
      <c r="M633" s="191">
        <v>1.4343100769756831</v>
      </c>
      <c r="N633" s="191">
        <v>1.3652166052244967</v>
      </c>
      <c r="O633" s="191">
        <v>1.3722674934522641</v>
      </c>
      <c r="P633" s="191">
        <v>1.4433979048814449</v>
      </c>
      <c r="Q633" s="191">
        <v>1.4393643503734865</v>
      </c>
    </row>
    <row r="634" spans="1:17" x14ac:dyDescent="0.35">
      <c r="A634" s="238" t="s">
        <v>351</v>
      </c>
      <c r="B634" s="238" t="s">
        <v>87</v>
      </c>
      <c r="C634" s="191">
        <v>1.0293817265575258</v>
      </c>
      <c r="D634" s="191">
        <v>0.96345901762561437</v>
      </c>
      <c r="E634" s="191">
        <v>0.80848721725030015</v>
      </c>
      <c r="F634" s="191">
        <v>0.74479884631304349</v>
      </c>
      <c r="G634" s="191">
        <v>0.75744060191859752</v>
      </c>
      <c r="H634" s="191">
        <v>1.1443065304809965</v>
      </c>
      <c r="I634" s="191">
        <v>1.1112397447609332</v>
      </c>
      <c r="J634" s="191">
        <v>1.1054866360049462</v>
      </c>
      <c r="K634" s="191">
        <v>1.0595606692803112</v>
      </c>
      <c r="L634" s="191">
        <v>0.89051515503643963</v>
      </c>
      <c r="M634" s="191">
        <v>0.916813834866961</v>
      </c>
      <c r="N634" s="191">
        <v>0.95618361590855039</v>
      </c>
      <c r="O634" s="191">
        <v>1.0263668669644439</v>
      </c>
      <c r="P634" s="191">
        <v>1.0205827126886939</v>
      </c>
      <c r="Q634" s="191">
        <v>0.98850677153556199</v>
      </c>
    </row>
    <row r="635" spans="1:17" x14ac:dyDescent="0.35">
      <c r="A635" s="238" t="s">
        <v>350</v>
      </c>
      <c r="B635" s="238" t="s">
        <v>87</v>
      </c>
      <c r="C635" s="191">
        <v>1.3434388215425517</v>
      </c>
      <c r="D635" s="191">
        <v>1.3321895549088403</v>
      </c>
      <c r="E635" s="191">
        <v>1.2478116049949717</v>
      </c>
      <c r="F635" s="191">
        <v>1.1401006559973619</v>
      </c>
      <c r="G635" s="191">
        <v>1.0459696896128106</v>
      </c>
      <c r="H635" s="191">
        <v>1.6702388734857427</v>
      </c>
      <c r="I635" s="191">
        <v>1.6313622184199437</v>
      </c>
      <c r="J635" s="191">
        <v>1.616916337047098</v>
      </c>
      <c r="K635" s="191">
        <v>1.6330751267939065</v>
      </c>
      <c r="L635" s="191">
        <v>1.6658242098361133</v>
      </c>
      <c r="M635" s="191">
        <v>1.7203220587904575</v>
      </c>
      <c r="N635" s="191">
        <v>1.7494487873793174</v>
      </c>
      <c r="O635" s="191">
        <v>1.5969640730489476</v>
      </c>
      <c r="P635" s="191">
        <v>1.7302326094995535</v>
      </c>
      <c r="Q635" s="191">
        <v>1.6461143264900595</v>
      </c>
    </row>
    <row r="636" spans="1:17" x14ac:dyDescent="0.35">
      <c r="A636" s="238" t="s">
        <v>349</v>
      </c>
      <c r="B636" s="238" t="s">
        <v>87</v>
      </c>
      <c r="C636" s="191">
        <v>1.3108065204731356</v>
      </c>
      <c r="D636" s="191">
        <v>1.2970726797702823</v>
      </c>
      <c r="E636" s="191">
        <v>1.2232464118554289</v>
      </c>
      <c r="F636" s="191">
        <v>1.1573621173483866</v>
      </c>
      <c r="G636" s="191">
        <v>1.0881253181024007</v>
      </c>
      <c r="H636" s="191">
        <v>1.3578255707345974</v>
      </c>
      <c r="I636" s="191">
        <v>1.2821081524399458</v>
      </c>
      <c r="J636" s="191">
        <v>1.3184894219974421</v>
      </c>
      <c r="K636" s="191">
        <v>1.2981874351653735</v>
      </c>
      <c r="L636" s="191">
        <v>1.3748165507613535</v>
      </c>
      <c r="M636" s="191">
        <v>1.344758899655073</v>
      </c>
      <c r="N636" s="191">
        <v>1.2838653063511276</v>
      </c>
      <c r="O636" s="191">
        <v>1.2020320290082778</v>
      </c>
      <c r="P636" s="191">
        <v>1.2277708817077104</v>
      </c>
      <c r="Q636" s="191">
        <v>1.1200065077483736</v>
      </c>
    </row>
    <row r="637" spans="1:17" x14ac:dyDescent="0.35">
      <c r="A637" s="238" t="s">
        <v>348</v>
      </c>
      <c r="B637" s="238" t="s">
        <v>87</v>
      </c>
      <c r="C637" s="191">
        <v>0.12021541503389496</v>
      </c>
      <c r="D637" s="191">
        <v>0.12585900520092499</v>
      </c>
      <c r="E637" s="191">
        <v>0.11693052615703729</v>
      </c>
      <c r="F637" s="191">
        <v>0.10233769702234845</v>
      </c>
      <c r="G637" s="191">
        <v>0.10751502036095155</v>
      </c>
      <c r="H637" s="191">
        <v>0.16047071251418615</v>
      </c>
      <c r="I637" s="191">
        <v>0.16435763359568387</v>
      </c>
      <c r="J637" s="191">
        <v>0.17573359055047366</v>
      </c>
      <c r="K637" s="191">
        <v>0.13896859663809286</v>
      </c>
      <c r="L637" s="191">
        <v>0.12862940828249575</v>
      </c>
      <c r="M637" s="191">
        <v>0.13033325871434107</v>
      </c>
      <c r="N637" s="191">
        <v>0.12927142408537162</v>
      </c>
      <c r="O637" s="191">
        <v>0.12075807835585903</v>
      </c>
      <c r="P637" s="191">
        <v>0.11131003163056657</v>
      </c>
      <c r="Q637" s="191">
        <v>0.1228715703315172</v>
      </c>
    </row>
    <row r="638" spans="1:17" x14ac:dyDescent="0.35">
      <c r="A638" s="238" t="s">
        <v>347</v>
      </c>
      <c r="B638" s="238" t="s">
        <v>87</v>
      </c>
      <c r="C638" s="191">
        <v>0.11143834233419135</v>
      </c>
      <c r="D638" s="191">
        <v>0.10446346973068762</v>
      </c>
      <c r="E638" s="191">
        <v>8.6303281510609189E-2</v>
      </c>
      <c r="F638" s="191">
        <v>7.6032494060132877E-2</v>
      </c>
      <c r="G638" s="191">
        <v>7.3476513649493425E-2</v>
      </c>
      <c r="H638" s="191">
        <v>0.10598282339115185</v>
      </c>
      <c r="I638" s="191">
        <v>0.10454045158487307</v>
      </c>
      <c r="J638" s="191">
        <v>0.10568435481581273</v>
      </c>
      <c r="K638" s="191">
        <v>9.4587775869015914E-2</v>
      </c>
      <c r="L638" s="191">
        <v>8.0872141104032763E-2</v>
      </c>
      <c r="M638" s="191">
        <v>7.7941746845791096E-2</v>
      </c>
      <c r="N638" s="191">
        <v>7.7338255760584507E-2</v>
      </c>
      <c r="O638" s="191">
        <v>7.139255213764506E-2</v>
      </c>
      <c r="P638" s="191">
        <v>6.7499957597165386E-2</v>
      </c>
      <c r="Q638" s="191">
        <v>6.9688079198573394E-2</v>
      </c>
    </row>
    <row r="639" spans="1:17" x14ac:dyDescent="0.35">
      <c r="A639" s="238" t="s">
        <v>346</v>
      </c>
      <c r="B639" s="238" t="s">
        <v>87</v>
      </c>
      <c r="C639" s="191">
        <v>9.1710803900304755E-2</v>
      </c>
      <c r="D639" s="191">
        <v>9.674881322946037E-2</v>
      </c>
      <c r="E639" s="191">
        <v>9.2405957362738766E-2</v>
      </c>
      <c r="F639" s="191">
        <v>8.242188677387538E-2</v>
      </c>
      <c r="G639" s="191">
        <v>7.9924160804838815E-2</v>
      </c>
      <c r="H639" s="191">
        <v>0.13179769293059651</v>
      </c>
      <c r="I639" s="191">
        <v>0.12381969027745805</v>
      </c>
      <c r="J639" s="191">
        <v>0.12022025094727935</v>
      </c>
      <c r="K639" s="191">
        <v>0.11739312755701244</v>
      </c>
      <c r="L639" s="191">
        <v>0.11216561087233788</v>
      </c>
      <c r="M639" s="191">
        <v>0.10393196609250903</v>
      </c>
      <c r="N639" s="191">
        <v>0.11603835704046012</v>
      </c>
      <c r="O639" s="191">
        <v>9.9519291937061105E-2</v>
      </c>
      <c r="P639" s="191">
        <v>0.10302801213369138</v>
      </c>
      <c r="Q639" s="191">
        <v>0.11017171508322544</v>
      </c>
    </row>
    <row r="640" spans="1:17" x14ac:dyDescent="0.35">
      <c r="A640" s="238" t="s">
        <v>345</v>
      </c>
      <c r="B640" s="238" t="s">
        <v>87</v>
      </c>
      <c r="C640" s="191">
        <v>0.63619042151631833</v>
      </c>
      <c r="D640" s="191">
        <v>0.57680128484058624</v>
      </c>
      <c r="E640" s="191">
        <v>0.49606560248822923</v>
      </c>
      <c r="F640" s="191">
        <v>0.47918996702720978</v>
      </c>
      <c r="G640" s="191">
        <v>0.46552413192138592</v>
      </c>
      <c r="H640" s="191">
        <v>0.70722630030432565</v>
      </c>
      <c r="I640" s="191">
        <v>0.6779642867657234</v>
      </c>
      <c r="J640" s="191">
        <v>0.70872272745428178</v>
      </c>
      <c r="K640" s="191">
        <v>0.72538024488346742</v>
      </c>
      <c r="L640" s="191">
        <v>0.69800471774385187</v>
      </c>
      <c r="M640" s="191">
        <v>0.65572369852720969</v>
      </c>
      <c r="N640" s="191">
        <v>0.77802311826526616</v>
      </c>
      <c r="O640" s="191">
        <v>0.69183677410230127</v>
      </c>
      <c r="P640" s="191">
        <v>0.71649428890974176</v>
      </c>
      <c r="Q640" s="191">
        <v>0.69220340679919379</v>
      </c>
    </row>
    <row r="641" spans="1:17" x14ac:dyDescent="0.35">
      <c r="A641" s="238" t="s">
        <v>344</v>
      </c>
      <c r="B641" s="238" t="s">
        <v>87</v>
      </c>
      <c r="C641" s="191">
        <v>3.9223968678763672</v>
      </c>
      <c r="D641" s="191">
        <v>3.8908805002198408</v>
      </c>
      <c r="E641" s="191">
        <v>3.9601531855442889</v>
      </c>
      <c r="F641" s="191">
        <v>3.8301476338181502</v>
      </c>
      <c r="G641" s="191">
        <v>3.9460710609040603</v>
      </c>
      <c r="H641" s="191">
        <v>3.7748948777999218</v>
      </c>
      <c r="I641" s="191">
        <v>3.6267954390413419</v>
      </c>
      <c r="J641" s="191">
        <v>3.6828147873277035</v>
      </c>
      <c r="K641" s="191">
        <v>3.6692242539163367</v>
      </c>
      <c r="L641" s="191">
        <v>3.3162586345941958</v>
      </c>
      <c r="M641" s="191">
        <v>3.1406659378887456</v>
      </c>
      <c r="N641" s="191">
        <v>3.1256227347270218</v>
      </c>
      <c r="O641" s="191">
        <v>3.0467002692300236</v>
      </c>
      <c r="P641" s="191">
        <v>2.7191120275708589</v>
      </c>
      <c r="Q641" s="191">
        <v>2.7311917126208551</v>
      </c>
    </row>
    <row r="642" spans="1:17" x14ac:dyDescent="0.35">
      <c r="A642" s="238" t="s">
        <v>343</v>
      </c>
      <c r="B642" s="238" t="s">
        <v>87</v>
      </c>
      <c r="C642" s="191">
        <v>5.7667828113059497E-2</v>
      </c>
      <c r="D642" s="191">
        <v>5.7597979559789639E-2</v>
      </c>
      <c r="E642" s="191">
        <v>5.4849216142609805E-2</v>
      </c>
      <c r="F642" s="191">
        <v>5.5226518845902899E-2</v>
      </c>
      <c r="G642" s="191">
        <v>5.3007360534942531E-2</v>
      </c>
      <c r="H642" s="191">
        <v>5.6131131804066307E-2</v>
      </c>
      <c r="I642" s="191">
        <v>5.6188621931481948E-2</v>
      </c>
      <c r="J642" s="191">
        <v>6.0993387842485487E-2</v>
      </c>
      <c r="K642" s="191">
        <v>5.3193714543109033E-2</v>
      </c>
      <c r="L642" s="191">
        <v>5.7680524383540682E-2</v>
      </c>
      <c r="M642" s="191">
        <v>6.2836409124057399E-2</v>
      </c>
      <c r="N642" s="191">
        <v>7.1734022644229095E-2</v>
      </c>
      <c r="O642" s="191">
        <v>6.7508685759737772E-2</v>
      </c>
      <c r="P642" s="191">
        <v>6.5937849042173938E-2</v>
      </c>
      <c r="Q642" s="191">
        <v>6.3798261366724715E-2</v>
      </c>
    </row>
    <row r="643" spans="1:17" x14ac:dyDescent="0.35">
      <c r="A643" s="238" t="s">
        <v>342</v>
      </c>
      <c r="B643" s="238" t="s">
        <v>87</v>
      </c>
      <c r="C643" s="191">
        <v>0.12338711663998722</v>
      </c>
      <c r="D643" s="191">
        <v>0.14156085039019767</v>
      </c>
      <c r="E643" s="191">
        <v>0.13373724297590503</v>
      </c>
      <c r="F643" s="191">
        <v>0.13413682440414731</v>
      </c>
      <c r="G643" s="191">
        <v>0.12139209363720632</v>
      </c>
      <c r="H643" s="191">
        <v>0.10245712863372658</v>
      </c>
      <c r="I643" s="191">
        <v>0.11672220331164067</v>
      </c>
      <c r="J643" s="191">
        <v>0.10247692561851296</v>
      </c>
      <c r="K643" s="191">
        <v>0.1206959374120446</v>
      </c>
      <c r="L643" s="191">
        <v>0.11796345098172378</v>
      </c>
      <c r="M643" s="191">
        <v>0.10455470303966023</v>
      </c>
      <c r="N643" s="191">
        <v>0.11496503227562352</v>
      </c>
      <c r="O643" s="191">
        <v>0.10979747716211825</v>
      </c>
      <c r="P643" s="191">
        <v>0.1152407626679457</v>
      </c>
      <c r="Q643" s="191">
        <v>0.11355533230389225</v>
      </c>
    </row>
    <row r="644" spans="1:17" x14ac:dyDescent="0.35">
      <c r="A644" s="238" t="s">
        <v>341</v>
      </c>
      <c r="B644" s="238" t="s">
        <v>87</v>
      </c>
      <c r="C644" s="191">
        <v>8.3117357014459117E-2</v>
      </c>
      <c r="D644" s="191">
        <v>8.2645508581505128E-2</v>
      </c>
      <c r="E644" s="191">
        <v>7.4342851893205969E-2</v>
      </c>
      <c r="F644" s="191">
        <v>6.9999265339137182E-2</v>
      </c>
      <c r="G644" s="191">
        <v>7.061226806353163E-2</v>
      </c>
      <c r="H644" s="191">
        <v>7.1695107555100196E-2</v>
      </c>
      <c r="I644" s="191">
        <v>7.3345761459744141E-2</v>
      </c>
      <c r="J644" s="191">
        <v>5.8569542036924493E-2</v>
      </c>
      <c r="K644" s="191">
        <v>6.7902231224160628E-2</v>
      </c>
      <c r="L644" s="191">
        <v>6.8161695255225516E-2</v>
      </c>
      <c r="M644" s="191">
        <v>7.0179757514970464E-2</v>
      </c>
      <c r="N644" s="191">
        <v>7.0556622205980926E-2</v>
      </c>
      <c r="O644" s="191">
        <v>6.8569356426692082E-2</v>
      </c>
      <c r="P644" s="191">
        <v>6.8849839848196689E-2</v>
      </c>
      <c r="Q644" s="191">
        <v>5.9109336003401826E-2</v>
      </c>
    </row>
    <row r="645" spans="1:17" x14ac:dyDescent="0.35">
      <c r="A645" s="238" t="s">
        <v>340</v>
      </c>
      <c r="B645" s="238" t="s">
        <v>87</v>
      </c>
      <c r="C645" s="191">
        <v>0.18343784780840566</v>
      </c>
      <c r="D645" s="191">
        <v>0.17571147382553004</v>
      </c>
      <c r="E645" s="191">
        <v>0.18011471116892394</v>
      </c>
      <c r="F645" s="191">
        <v>0.17822724063783765</v>
      </c>
      <c r="G645" s="191">
        <v>0.18225544144230094</v>
      </c>
      <c r="H645" s="191">
        <v>0.18442893092936644</v>
      </c>
      <c r="I645" s="191">
        <v>0.19182988574399967</v>
      </c>
      <c r="J645" s="191">
        <v>0.16835349960126303</v>
      </c>
      <c r="K645" s="191">
        <v>0.18905277903504211</v>
      </c>
      <c r="L645" s="191">
        <v>0.2018756033970964</v>
      </c>
      <c r="M645" s="191">
        <v>0.177562069213027</v>
      </c>
      <c r="N645" s="191">
        <v>0.18024065768526512</v>
      </c>
      <c r="O645" s="191">
        <v>0.18178849941525119</v>
      </c>
      <c r="P645" s="191">
        <v>0.18541308729004072</v>
      </c>
      <c r="Q645" s="191">
        <v>0.17702047126196366</v>
      </c>
    </row>
    <row r="646" spans="1:17" x14ac:dyDescent="0.35">
      <c r="A646" s="238" t="s">
        <v>339</v>
      </c>
      <c r="B646" s="238" t="s">
        <v>87</v>
      </c>
      <c r="C646" s="191">
        <v>0.22968875951435691</v>
      </c>
      <c r="D646" s="191">
        <v>0.24545601899441238</v>
      </c>
      <c r="E646" s="191">
        <v>0.23698316507221934</v>
      </c>
      <c r="F646" s="191">
        <v>0.22727014618673852</v>
      </c>
      <c r="G646" s="191">
        <v>0.21806857343434236</v>
      </c>
      <c r="H646" s="191">
        <v>0.21680620576486417</v>
      </c>
      <c r="I646" s="191">
        <v>0.23817525049187382</v>
      </c>
      <c r="J646" s="191">
        <v>0.19754789065339309</v>
      </c>
      <c r="K646" s="191">
        <v>0.23029168731264182</v>
      </c>
      <c r="L646" s="191">
        <v>0.27893354750435984</v>
      </c>
      <c r="M646" s="191">
        <v>0.28591236839346135</v>
      </c>
      <c r="N646" s="191">
        <v>0.31385282829780764</v>
      </c>
      <c r="O646" s="191">
        <v>0.33311257902328739</v>
      </c>
      <c r="P646" s="191">
        <v>0.36885491612934235</v>
      </c>
      <c r="Q646" s="191">
        <v>0.40567549152047172</v>
      </c>
    </row>
    <row r="647" spans="1:17" x14ac:dyDescent="0.35">
      <c r="A647" s="238" t="s">
        <v>338</v>
      </c>
      <c r="B647" s="238" t="s">
        <v>87</v>
      </c>
      <c r="C647" s="191">
        <v>1.768689072259116</v>
      </c>
      <c r="D647" s="191">
        <v>1.7917046309320366</v>
      </c>
      <c r="E647" s="191">
        <v>1.6435054662707695</v>
      </c>
      <c r="F647" s="191">
        <v>1.7138042008227812</v>
      </c>
      <c r="G647" s="191">
        <v>1.6384909990256893</v>
      </c>
      <c r="H647" s="191">
        <v>1.5335878589335115</v>
      </c>
      <c r="I647" s="191">
        <v>1.5632852095573495</v>
      </c>
      <c r="J647" s="191">
        <v>1.6604083471917965</v>
      </c>
      <c r="K647" s="191">
        <v>1.7233067613550759</v>
      </c>
      <c r="L647" s="191">
        <v>1.706074719516254</v>
      </c>
      <c r="M647" s="191">
        <v>1.7138893365378558</v>
      </c>
      <c r="N647" s="191">
        <v>1.6628758674988811</v>
      </c>
      <c r="O647" s="191">
        <v>1.6927180417809842</v>
      </c>
      <c r="P647" s="191">
        <v>1.7030920439173627</v>
      </c>
      <c r="Q647" s="191">
        <v>1.5852983930085915</v>
      </c>
    </row>
    <row r="648" spans="1:17" x14ac:dyDescent="0.35">
      <c r="A648" s="238" t="s">
        <v>337</v>
      </c>
      <c r="B648" s="238" t="s">
        <v>87</v>
      </c>
      <c r="C648" s="191">
        <v>4.5748471644218252E-6</v>
      </c>
      <c r="D648" s="191">
        <v>3.5083317099837725E-6</v>
      </c>
      <c r="E648" s="191">
        <v>2.2543503767533515E-6</v>
      </c>
      <c r="F648" s="191">
        <v>3.1759804451772699E-6</v>
      </c>
      <c r="G648" s="191">
        <v>3.0609406155923296E-6</v>
      </c>
      <c r="H648" s="191">
        <v>4.1795497330110507E-6</v>
      </c>
      <c r="I648" s="191">
        <v>4.7915935194266792E-6</v>
      </c>
      <c r="J648" s="191">
        <v>5.5930533922436179E-6</v>
      </c>
      <c r="K648" s="191">
        <v>6.2620557715434685E-6</v>
      </c>
      <c r="L648" s="191">
        <v>5.3582774971173225E-6</v>
      </c>
      <c r="M648" s="191">
        <v>5.5690805727499926E-6</v>
      </c>
      <c r="N648" s="191">
        <v>4.6301136778512998E-6</v>
      </c>
      <c r="O648" s="191">
        <v>2.8986228116751754E-6</v>
      </c>
      <c r="P648" s="191">
        <v>2.3681513939620776E-6</v>
      </c>
      <c r="Q648" s="191">
        <v>2.6750270062826567E-6</v>
      </c>
    </row>
    <row r="649" spans="1:17" x14ac:dyDescent="0.35">
      <c r="A649" s="238" t="s">
        <v>336</v>
      </c>
      <c r="B649" s="238" t="s">
        <v>87</v>
      </c>
      <c r="C649" s="191">
        <v>1.9848403321094899E-5</v>
      </c>
      <c r="D649" s="191">
        <v>1.7923726095086716E-5</v>
      </c>
      <c r="E649" s="191">
        <v>1.6055468197304221E-5</v>
      </c>
      <c r="F649" s="191">
        <v>1.4401849284183056E-5</v>
      </c>
      <c r="G649" s="191">
        <v>1.2420497571094495E-5</v>
      </c>
      <c r="H649" s="191">
        <v>1.7167074083988788E-5</v>
      </c>
      <c r="I649" s="191">
        <v>2.0340136780300988E-5</v>
      </c>
      <c r="J649" s="191">
        <v>2.1669727520137526E-5</v>
      </c>
      <c r="K649" s="191">
        <v>2.1755735666445098E-5</v>
      </c>
      <c r="L649" s="191">
        <v>2.4601573756076589E-5</v>
      </c>
      <c r="M649" s="191">
        <v>2.5721732762408592E-5</v>
      </c>
      <c r="N649" s="191">
        <v>2.4062924673815406E-5</v>
      </c>
      <c r="O649" s="191">
        <v>1.8280537571340779E-5</v>
      </c>
      <c r="P649" s="191">
        <v>1.7005432572607892E-5</v>
      </c>
      <c r="Q649" s="191">
        <v>1.8955822151764034E-5</v>
      </c>
    </row>
    <row r="650" spans="1:17" x14ac:dyDescent="0.35">
      <c r="A650" s="238" t="s">
        <v>335</v>
      </c>
      <c r="B650" s="238" t="s">
        <v>87</v>
      </c>
      <c r="C650" s="191">
        <v>0.15920033013924226</v>
      </c>
      <c r="D650" s="191">
        <v>0.14626534126572541</v>
      </c>
      <c r="E650" s="191">
        <v>0.13750798057984082</v>
      </c>
      <c r="F650" s="191">
        <v>0.12679160517105934</v>
      </c>
      <c r="G650" s="191">
        <v>0.11254947017031008</v>
      </c>
      <c r="H650" s="191">
        <v>9.9237386831205698E-2</v>
      </c>
      <c r="I650" s="191">
        <v>0.10003573898651195</v>
      </c>
      <c r="J650" s="191">
        <v>9.8073077473234571E-2</v>
      </c>
      <c r="K650" s="191">
        <v>9.8822003010246004E-2</v>
      </c>
      <c r="L650" s="191">
        <v>9.5823568050181898E-2</v>
      </c>
      <c r="M650" s="191">
        <v>0.1026264908600997</v>
      </c>
      <c r="N650" s="191">
        <v>0.11059539187753116</v>
      </c>
      <c r="O650" s="191">
        <v>0.10686343674581243</v>
      </c>
      <c r="P650" s="191">
        <v>0.10442853400674075</v>
      </c>
      <c r="Q650" s="191">
        <v>0.10464609635555286</v>
      </c>
    </row>
    <row r="651" spans="1:17" x14ac:dyDescent="0.35">
      <c r="A651" s="238" t="s">
        <v>334</v>
      </c>
      <c r="B651" s="238" t="s">
        <v>87</v>
      </c>
      <c r="C651" s="191">
        <v>0.557114158189985</v>
      </c>
      <c r="D651" s="191">
        <v>0.54727303876599609</v>
      </c>
      <c r="E651" s="191">
        <v>0.51974185305009413</v>
      </c>
      <c r="F651" s="191">
        <v>0.48040480838419714</v>
      </c>
      <c r="G651" s="191">
        <v>0.46379650768643099</v>
      </c>
      <c r="H651" s="191">
        <v>0.19502066451585254</v>
      </c>
      <c r="I651" s="191">
        <v>0.22890772959001349</v>
      </c>
      <c r="J651" s="191">
        <v>0.17540867590327613</v>
      </c>
      <c r="K651" s="191">
        <v>0.1928580587552419</v>
      </c>
      <c r="L651" s="191">
        <v>0.19487285803924426</v>
      </c>
      <c r="M651" s="191">
        <v>0.18958196691492568</v>
      </c>
      <c r="N651" s="191">
        <v>0.17019557521741102</v>
      </c>
      <c r="O651" s="191">
        <v>0.16233097499278262</v>
      </c>
      <c r="P651" s="191">
        <v>0.17541244054278199</v>
      </c>
      <c r="Q651" s="191">
        <v>0.19572299833922094</v>
      </c>
    </row>
    <row r="652" spans="1:17" x14ac:dyDescent="0.35">
      <c r="A652" s="238" t="s">
        <v>333</v>
      </c>
      <c r="B652" s="238" t="s">
        <v>87</v>
      </c>
      <c r="C652" s="191">
        <v>4.6359976965331319E-2</v>
      </c>
      <c r="D652" s="191">
        <v>4.6744865231611685E-2</v>
      </c>
      <c r="E652" s="191">
        <v>4.4735106920278198E-2</v>
      </c>
      <c r="F652" s="191">
        <v>4.2681990594118147E-2</v>
      </c>
      <c r="G652" s="191">
        <v>4.0197111802657608E-2</v>
      </c>
      <c r="H652" s="191">
        <v>4.0585532993363253E-2</v>
      </c>
      <c r="I652" s="191">
        <v>4.0388387489736083E-2</v>
      </c>
      <c r="J652" s="191">
        <v>3.7495004095305907E-2</v>
      </c>
      <c r="K652" s="191">
        <v>4.1477197913039505E-2</v>
      </c>
      <c r="L652" s="191">
        <v>4.3849574786651448E-2</v>
      </c>
      <c r="M652" s="191">
        <v>4.3147278170081939E-2</v>
      </c>
      <c r="N652" s="191">
        <v>3.9874374033230187E-2</v>
      </c>
      <c r="O652" s="191">
        <v>4.1703244863390831E-2</v>
      </c>
      <c r="P652" s="191">
        <v>4.3019013007879137E-2</v>
      </c>
      <c r="Q652" s="191">
        <v>4.1275771205387793E-2</v>
      </c>
    </row>
    <row r="653" spans="1:17" x14ac:dyDescent="0.35">
      <c r="A653" s="238" t="s">
        <v>332</v>
      </c>
      <c r="B653" s="238" t="s">
        <v>87</v>
      </c>
      <c r="C653" s="191">
        <v>8.9856367898628164E-2</v>
      </c>
      <c r="D653" s="191">
        <v>8.2162387750431123E-2</v>
      </c>
      <c r="E653" s="191">
        <v>7.7283023031286757E-2</v>
      </c>
      <c r="F653" s="191">
        <v>7.6202407197394378E-2</v>
      </c>
      <c r="G653" s="191">
        <v>8.2030652556040126E-2</v>
      </c>
      <c r="H653" s="191">
        <v>8.0840376314575454E-2</v>
      </c>
      <c r="I653" s="191">
        <v>7.3810139135886466E-2</v>
      </c>
      <c r="J653" s="191">
        <v>7.7852420826150667E-2</v>
      </c>
      <c r="K653" s="191">
        <v>7.6190883999373141E-2</v>
      </c>
      <c r="L653" s="191">
        <v>7.6978747913389059E-2</v>
      </c>
      <c r="M653" s="191">
        <v>7.7925884448664967E-2</v>
      </c>
      <c r="N653" s="191">
        <v>7.8427491107070008E-2</v>
      </c>
      <c r="O653" s="191">
        <v>8.5635047212080581E-2</v>
      </c>
      <c r="P653" s="191">
        <v>7.9750168009901465E-2</v>
      </c>
      <c r="Q653" s="191">
        <v>7.296546325240949E-2</v>
      </c>
    </row>
    <row r="654" spans="1:17" x14ac:dyDescent="0.35">
      <c r="A654" s="238" t="s">
        <v>331</v>
      </c>
      <c r="B654" s="238" t="s">
        <v>87</v>
      </c>
      <c r="C654" s="191">
        <v>9.772309728227796E-2</v>
      </c>
      <c r="D654" s="191">
        <v>0.11115803062770635</v>
      </c>
      <c r="E654" s="191">
        <v>0.10580241841803352</v>
      </c>
      <c r="F654" s="191">
        <v>0.10681667576834784</v>
      </c>
      <c r="G654" s="191">
        <v>0.10522864842044777</v>
      </c>
      <c r="H654" s="191">
        <v>9.4679344016417574E-2</v>
      </c>
      <c r="I654" s="191">
        <v>0.10213827710360436</v>
      </c>
      <c r="J654" s="191">
        <v>7.8338733280671147E-2</v>
      </c>
      <c r="K654" s="191">
        <v>9.2239158675887681E-2</v>
      </c>
      <c r="L654" s="191">
        <v>9.7326018850510163E-2</v>
      </c>
      <c r="M654" s="191">
        <v>9.0797011495621846E-2</v>
      </c>
      <c r="N654" s="191">
        <v>8.8285701757899307E-2</v>
      </c>
      <c r="O654" s="191">
        <v>9.0027585855644632E-2</v>
      </c>
      <c r="P654" s="191">
        <v>9.5155272999781063E-2</v>
      </c>
      <c r="Q654" s="191">
        <v>0.10356363499920908</v>
      </c>
    </row>
    <row r="655" spans="1:17" x14ac:dyDescent="0.35">
      <c r="A655" s="238" t="s">
        <v>330</v>
      </c>
      <c r="B655" s="238" t="s">
        <v>87</v>
      </c>
      <c r="C655" s="191">
        <v>1.5373951654266507</v>
      </c>
      <c r="D655" s="191">
        <v>1.5773355485211076</v>
      </c>
      <c r="E655" s="191">
        <v>1.6069214033563568</v>
      </c>
      <c r="F655" s="191">
        <v>1.5581521796463662</v>
      </c>
      <c r="G655" s="191">
        <v>1.5924836438541974</v>
      </c>
      <c r="H655" s="191">
        <v>0.89464579847498049</v>
      </c>
      <c r="I655" s="191">
        <v>0.78606774465533169</v>
      </c>
      <c r="J655" s="191">
        <v>0.99598698963144905</v>
      </c>
      <c r="K655" s="191">
        <v>0.92709694378495311</v>
      </c>
      <c r="L655" s="191">
        <v>0.92065535088589701</v>
      </c>
      <c r="M655" s="191">
        <v>0.88089266060883009</v>
      </c>
      <c r="N655" s="191">
        <v>0.82574519640813138</v>
      </c>
      <c r="O655" s="191">
        <v>0.86061277437728145</v>
      </c>
      <c r="P655" s="191">
        <v>0.83167849116567338</v>
      </c>
      <c r="Q655" s="191">
        <v>0.79425898788070837</v>
      </c>
    </row>
    <row r="656" spans="1:17" x14ac:dyDescent="0.35">
      <c r="A656" s="238" t="s">
        <v>329</v>
      </c>
      <c r="B656" s="238" t="s">
        <v>87</v>
      </c>
      <c r="C656" s="191">
        <v>0.19922448291807177</v>
      </c>
      <c r="D656" s="191">
        <v>0.23531238535474305</v>
      </c>
      <c r="E656" s="191">
        <v>0.22314155456536519</v>
      </c>
      <c r="F656" s="191">
        <v>0.22317933842060514</v>
      </c>
      <c r="G656" s="191">
        <v>0.21438305202709548</v>
      </c>
      <c r="H656" s="191">
        <v>0.20330385315308613</v>
      </c>
      <c r="I656" s="191">
        <v>0.20638467532306168</v>
      </c>
      <c r="J656" s="191">
        <v>0.20166091895972965</v>
      </c>
      <c r="K656" s="191">
        <v>0.21881425132286253</v>
      </c>
      <c r="L656" s="191">
        <v>0.23146364374082085</v>
      </c>
      <c r="M656" s="191">
        <v>0.22149602406457594</v>
      </c>
      <c r="N656" s="191">
        <v>0.21929110510209326</v>
      </c>
      <c r="O656" s="191">
        <v>0.21676984237117738</v>
      </c>
      <c r="P656" s="191">
        <v>0.2211725111125796</v>
      </c>
      <c r="Q656" s="191">
        <v>0.21082169303149165</v>
      </c>
    </row>
    <row r="657" spans="1:17" x14ac:dyDescent="0.35">
      <c r="A657" s="238" t="s">
        <v>328</v>
      </c>
      <c r="B657" s="238" t="s">
        <v>87</v>
      </c>
      <c r="C657" s="191">
        <v>0.16141074562287921</v>
      </c>
      <c r="D657" s="191">
        <v>0.17320209153427241</v>
      </c>
      <c r="E657" s="191">
        <v>0.1657377513264254</v>
      </c>
      <c r="F657" s="191">
        <v>0.15836996028351982</v>
      </c>
      <c r="G657" s="191">
        <v>0.14672777699115497</v>
      </c>
      <c r="H657" s="191">
        <v>0.14090500909863579</v>
      </c>
      <c r="I657" s="191">
        <v>0.14821482907576611</v>
      </c>
      <c r="J657" s="191">
        <v>0.11775767279203651</v>
      </c>
      <c r="K657" s="191">
        <v>0.13644975758106215</v>
      </c>
      <c r="L657" s="191">
        <v>0.14151464690529184</v>
      </c>
      <c r="M657" s="191">
        <v>0.14134148862063189</v>
      </c>
      <c r="N657" s="191">
        <v>0.1476061657474311</v>
      </c>
      <c r="O657" s="191">
        <v>0.14650608522130928</v>
      </c>
      <c r="P657" s="191">
        <v>0.15076300318769348</v>
      </c>
      <c r="Q657" s="191">
        <v>0.15304708986971721</v>
      </c>
    </row>
    <row r="658" spans="1:17" x14ac:dyDescent="0.35">
      <c r="A658" s="238" t="s">
        <v>327</v>
      </c>
      <c r="B658" s="238" t="s">
        <v>87</v>
      </c>
      <c r="C658" s="191">
        <v>0.24354639533712438</v>
      </c>
      <c r="D658" s="191">
        <v>0.22410397697909837</v>
      </c>
      <c r="E658" s="191">
        <v>0.2181196495176965</v>
      </c>
      <c r="F658" s="191">
        <v>0.21745540669238772</v>
      </c>
      <c r="G658" s="191">
        <v>0.20644271381163165</v>
      </c>
      <c r="H658" s="191">
        <v>0.20161633674608678</v>
      </c>
      <c r="I658" s="191">
        <v>0.19625973853525425</v>
      </c>
      <c r="J658" s="191">
        <v>0.15542166931705531</v>
      </c>
      <c r="K658" s="191">
        <v>0.17726991289108121</v>
      </c>
      <c r="L658" s="191">
        <v>0.1885584053327525</v>
      </c>
      <c r="M658" s="191">
        <v>0.19696970570613992</v>
      </c>
      <c r="N658" s="191">
        <v>0.19897657587795384</v>
      </c>
      <c r="O658" s="191">
        <v>0.20464005931279272</v>
      </c>
      <c r="P658" s="191">
        <v>0.20326798159486942</v>
      </c>
      <c r="Q658" s="191">
        <v>0.19740651264119191</v>
      </c>
    </row>
    <row r="659" spans="1:17" x14ac:dyDescent="0.35">
      <c r="A659" s="238" t="s">
        <v>326</v>
      </c>
      <c r="B659" s="238" t="s">
        <v>87</v>
      </c>
      <c r="C659" s="191">
        <v>0</v>
      </c>
      <c r="D659" s="191">
        <v>0</v>
      </c>
      <c r="E659" s="191">
        <v>0</v>
      </c>
      <c r="F659" s="191">
        <v>0</v>
      </c>
      <c r="G659" s="191">
        <v>0</v>
      </c>
      <c r="H659" s="191">
        <v>0</v>
      </c>
      <c r="I659" s="191">
        <v>0</v>
      </c>
      <c r="J659" s="191">
        <v>0</v>
      </c>
      <c r="K659" s="191">
        <v>0</v>
      </c>
      <c r="L659" s="191">
        <v>0</v>
      </c>
      <c r="M659" s="191">
        <v>0</v>
      </c>
      <c r="N659" s="191">
        <v>0</v>
      </c>
      <c r="O659" s="191">
        <v>0</v>
      </c>
      <c r="P659" s="191">
        <v>0</v>
      </c>
      <c r="Q659" s="191">
        <v>0</v>
      </c>
    </row>
    <row r="660" spans="1:17" x14ac:dyDescent="0.35">
      <c r="A660" s="238" t="s">
        <v>325</v>
      </c>
      <c r="B660" s="238" t="s">
        <v>87</v>
      </c>
      <c r="C660" s="191">
        <v>0.79788931874164437</v>
      </c>
      <c r="D660" s="191">
        <v>0.85533964602551005</v>
      </c>
      <c r="E660" s="191">
        <v>0.79741648904281015</v>
      </c>
      <c r="F660" s="191">
        <v>0.751536116224093</v>
      </c>
      <c r="G660" s="191">
        <v>0.75401598276918813</v>
      </c>
      <c r="H660" s="191">
        <v>0.76130722114404448</v>
      </c>
      <c r="I660" s="191">
        <v>0.75004986499999682</v>
      </c>
      <c r="J660" s="191">
        <v>0.75020148552707533</v>
      </c>
      <c r="K660" s="191">
        <v>0.76984264453561679</v>
      </c>
      <c r="L660" s="191">
        <v>0.7451618721067963</v>
      </c>
      <c r="M660" s="191">
        <v>0.71973566938607958</v>
      </c>
      <c r="N660" s="191">
        <v>0.68990843853987638</v>
      </c>
      <c r="O660" s="191">
        <v>0.68225482080487887</v>
      </c>
      <c r="P660" s="191">
        <v>0.68676076778974271</v>
      </c>
      <c r="Q660" s="191">
        <v>0.69008067538728879</v>
      </c>
    </row>
    <row r="661" spans="1:17" x14ac:dyDescent="0.35">
      <c r="A661" s="238" t="s">
        <v>360</v>
      </c>
      <c r="B661" s="238" t="s">
        <v>82</v>
      </c>
      <c r="C661" s="191">
        <v>0.47086767577643307</v>
      </c>
      <c r="D661" s="191">
        <v>0.46897340984789732</v>
      </c>
      <c r="E661" s="191">
        <v>0.46425486815666095</v>
      </c>
      <c r="F661" s="191">
        <v>0.44534418746398285</v>
      </c>
      <c r="G661" s="191">
        <v>0.37613253202284208</v>
      </c>
      <c r="H661" s="191">
        <v>0.35519565037522161</v>
      </c>
      <c r="I661" s="191">
        <v>0.33658210329045951</v>
      </c>
      <c r="J661" s="191">
        <v>0.34446052697705376</v>
      </c>
      <c r="K661" s="191">
        <v>0.33696130677794328</v>
      </c>
      <c r="L661" s="191">
        <v>0.37774203742264029</v>
      </c>
      <c r="M661" s="191">
        <v>0.37787484702445184</v>
      </c>
      <c r="N661" s="191">
        <v>0.34376894862318541</v>
      </c>
      <c r="O661" s="191">
        <v>0.33878148476263686</v>
      </c>
      <c r="P661" s="191">
        <v>0.25776595890294263</v>
      </c>
      <c r="Q661" s="191">
        <v>0.25445363024913897</v>
      </c>
    </row>
    <row r="662" spans="1:17" x14ac:dyDescent="0.35">
      <c r="A662" s="238" t="s">
        <v>359</v>
      </c>
      <c r="B662" s="238" t="s">
        <v>82</v>
      </c>
      <c r="C662" s="191">
        <v>0.95068866377163375</v>
      </c>
      <c r="D662" s="191">
        <v>1.0866305981112021</v>
      </c>
      <c r="E662" s="191">
        <v>1.01667597588606</v>
      </c>
      <c r="F662" s="191">
        <v>1.0660191521961055</v>
      </c>
      <c r="G662" s="191">
        <v>0.78686917394706934</v>
      </c>
      <c r="H662" s="191">
        <v>0.65266779115648133</v>
      </c>
      <c r="I662" s="191">
        <v>0.72048895297967008</v>
      </c>
      <c r="J662" s="191">
        <v>0.70890104564055778</v>
      </c>
      <c r="K662" s="191">
        <v>0.77940955037747817</v>
      </c>
      <c r="L662" s="191">
        <v>0.97047939337121825</v>
      </c>
      <c r="M662" s="191">
        <v>0.98238924919199189</v>
      </c>
      <c r="N662" s="191">
        <v>0.92783136618750017</v>
      </c>
      <c r="O662" s="191">
        <v>1.0833070867907952</v>
      </c>
      <c r="P662" s="191">
        <v>1.1106331881813756</v>
      </c>
      <c r="Q662" s="191">
        <v>1.1870484516524065</v>
      </c>
    </row>
    <row r="663" spans="1:17" x14ac:dyDescent="0.35">
      <c r="A663" s="238" t="s">
        <v>358</v>
      </c>
      <c r="B663" s="238" t="s">
        <v>82</v>
      </c>
      <c r="C663" s="191">
        <v>1.0479447725440569</v>
      </c>
      <c r="D663" s="191">
        <v>1.0360568758730864</v>
      </c>
      <c r="E663" s="191">
        <v>1.014018726524927</v>
      </c>
      <c r="F663" s="191">
        <v>1.0370660320502609</v>
      </c>
      <c r="G663" s="191">
        <v>0.98159679657580545</v>
      </c>
      <c r="H663" s="191">
        <v>0.88430146221986583</v>
      </c>
      <c r="I663" s="191">
        <v>0.89137736683450286</v>
      </c>
      <c r="J663" s="191">
        <v>0.92587069289180746</v>
      </c>
      <c r="K663" s="191">
        <v>0.92572699455925178</v>
      </c>
      <c r="L663" s="191">
        <v>0.93380861407100124</v>
      </c>
      <c r="M663" s="191">
        <v>0.9319479467345817</v>
      </c>
      <c r="N663" s="191">
        <v>0.93137543002830736</v>
      </c>
      <c r="O663" s="191">
        <v>0.90579227500034609</v>
      </c>
      <c r="P663" s="191">
        <v>0.93817132420436011</v>
      </c>
      <c r="Q663" s="191">
        <v>0.97044761844443206</v>
      </c>
    </row>
    <row r="664" spans="1:17" x14ac:dyDescent="0.35">
      <c r="A664" s="238" t="s">
        <v>357</v>
      </c>
      <c r="B664" s="238" t="s">
        <v>82</v>
      </c>
      <c r="C664" s="191">
        <v>0.99195523395501262</v>
      </c>
      <c r="D664" s="191">
        <v>0.84772404425625503</v>
      </c>
      <c r="E664" s="191">
        <v>0.81861477696770246</v>
      </c>
      <c r="F664" s="191">
        <v>0.81062296508303</v>
      </c>
      <c r="G664" s="191">
        <v>0.67967588786484401</v>
      </c>
      <c r="H664" s="191">
        <v>0.59827560679624581</v>
      </c>
      <c r="I664" s="191">
        <v>0.57679008851878699</v>
      </c>
      <c r="J664" s="191">
        <v>0.53408639484702225</v>
      </c>
      <c r="K664" s="191">
        <v>0.56226073191898385</v>
      </c>
      <c r="L664" s="191">
        <v>0.5959511163236807</v>
      </c>
      <c r="M664" s="191">
        <v>0.58017067273397094</v>
      </c>
      <c r="N664" s="191">
        <v>0.55669490021612289</v>
      </c>
      <c r="O664" s="191">
        <v>0.62495199018914604</v>
      </c>
      <c r="P664" s="191">
        <v>0.53816226422043145</v>
      </c>
      <c r="Q664" s="191">
        <v>0.49724291289232403</v>
      </c>
    </row>
    <row r="665" spans="1:17" x14ac:dyDescent="0.35">
      <c r="A665" s="238" t="s">
        <v>356</v>
      </c>
      <c r="B665" s="238" t="s">
        <v>82</v>
      </c>
      <c r="C665" s="191">
        <v>0.36017316114149805</v>
      </c>
      <c r="D665" s="191">
        <v>0.30773968477634617</v>
      </c>
      <c r="E665" s="191">
        <v>0.28490587653563482</v>
      </c>
      <c r="F665" s="191">
        <v>0.28389198839865315</v>
      </c>
      <c r="G665" s="191">
        <v>0.27582878945151751</v>
      </c>
      <c r="H665" s="191">
        <v>0.27051239158803742</v>
      </c>
      <c r="I665" s="191">
        <v>0.28642317546372925</v>
      </c>
      <c r="J665" s="191">
        <v>0.25927750001712219</v>
      </c>
      <c r="K665" s="191">
        <v>0.25206032689756724</v>
      </c>
      <c r="L665" s="191">
        <v>0.2709501807246148</v>
      </c>
      <c r="M665" s="191">
        <v>0.26632248651857132</v>
      </c>
      <c r="N665" s="191">
        <v>0.2287097852786095</v>
      </c>
      <c r="O665" s="191">
        <v>0.23849448504059831</v>
      </c>
      <c r="P665" s="191">
        <v>0.21190362815894584</v>
      </c>
      <c r="Q665" s="191">
        <v>0.20248687709043212</v>
      </c>
    </row>
    <row r="666" spans="1:17" x14ac:dyDescent="0.35">
      <c r="A666" s="238" t="s">
        <v>355</v>
      </c>
      <c r="B666" s="238" t="s">
        <v>82</v>
      </c>
      <c r="C666" s="191">
        <v>1.543584669525891</v>
      </c>
      <c r="D666" s="191">
        <v>1.5713183395016395</v>
      </c>
      <c r="E666" s="191">
        <v>1.646331221104433</v>
      </c>
      <c r="F666" s="191">
        <v>1.7958364266428319</v>
      </c>
      <c r="G666" s="191">
        <v>1.7003984320277263</v>
      </c>
      <c r="H666" s="191">
        <v>1.6450077961022413</v>
      </c>
      <c r="I666" s="191">
        <v>1.5214839862171476</v>
      </c>
      <c r="J666" s="191">
        <v>1.4602505683080329</v>
      </c>
      <c r="K666" s="191">
        <v>1.5076450931321594</v>
      </c>
      <c r="L666" s="191">
        <v>1.4906232035947029</v>
      </c>
      <c r="M666" s="191">
        <v>1.4882085700158616</v>
      </c>
      <c r="N666" s="191">
        <v>1.507689366543973</v>
      </c>
      <c r="O666" s="191">
        <v>1.4345046259573466</v>
      </c>
      <c r="P666" s="191">
        <v>1.340937777405623</v>
      </c>
      <c r="Q666" s="191">
        <v>1.4033225078918963</v>
      </c>
    </row>
    <row r="667" spans="1:17" x14ac:dyDescent="0.35">
      <c r="A667" s="238" t="s">
        <v>354</v>
      </c>
      <c r="B667" s="238" t="s">
        <v>82</v>
      </c>
      <c r="C667" s="191">
        <v>1.4159664231910054</v>
      </c>
      <c r="D667" s="191">
        <v>1.304235051194609</v>
      </c>
      <c r="E667" s="191">
        <v>1.281397330192007</v>
      </c>
      <c r="F667" s="191">
        <v>1.2932604822767144</v>
      </c>
      <c r="G667" s="191">
        <v>1.7279845074651576</v>
      </c>
      <c r="H667" s="191">
        <v>1.7920969045825299</v>
      </c>
      <c r="I667" s="191">
        <v>1.6591041409759142</v>
      </c>
      <c r="J667" s="191">
        <v>1.6661724225835628</v>
      </c>
      <c r="K667" s="191">
        <v>1.6987801938092408</v>
      </c>
      <c r="L667" s="191">
        <v>1.7486162038976443</v>
      </c>
      <c r="M667" s="191">
        <v>1.7029419945596787</v>
      </c>
      <c r="N667" s="191">
        <v>1.7735393640433785</v>
      </c>
      <c r="O667" s="191">
        <v>1.6853550268307096</v>
      </c>
      <c r="P667" s="191">
        <v>1.672671289783725</v>
      </c>
      <c r="Q667" s="191">
        <v>1.6711461492308324</v>
      </c>
    </row>
    <row r="668" spans="1:17" x14ac:dyDescent="0.35">
      <c r="A668" s="238" t="s">
        <v>353</v>
      </c>
      <c r="B668" s="238" t="s">
        <v>82</v>
      </c>
      <c r="C668" s="191">
        <v>0.56351884632511007</v>
      </c>
      <c r="D668" s="191">
        <v>0.58517436163521552</v>
      </c>
      <c r="E668" s="191">
        <v>0.64431318466688203</v>
      </c>
      <c r="F668" s="191">
        <v>0.59568344378359817</v>
      </c>
      <c r="G668" s="191">
        <v>0.49924952325982003</v>
      </c>
      <c r="H668" s="191">
        <v>0.43173984930216935</v>
      </c>
      <c r="I668" s="191">
        <v>0.43175921769540554</v>
      </c>
      <c r="J668" s="191">
        <v>0.44964363430123527</v>
      </c>
      <c r="K668" s="191">
        <v>0.52595511455906674</v>
      </c>
      <c r="L668" s="191">
        <v>0.50104019811738343</v>
      </c>
      <c r="M668" s="191">
        <v>0.51402425243557848</v>
      </c>
      <c r="N668" s="191">
        <v>0.45983913236898988</v>
      </c>
      <c r="O668" s="191">
        <v>0.5220070922514527</v>
      </c>
      <c r="P668" s="191">
        <v>0.49245446151272709</v>
      </c>
      <c r="Q668" s="191">
        <v>0.58130286670484466</v>
      </c>
    </row>
    <row r="669" spans="1:17" x14ac:dyDescent="0.35">
      <c r="A669" s="238" t="s">
        <v>352</v>
      </c>
      <c r="B669" s="238" t="s">
        <v>82</v>
      </c>
      <c r="C669" s="191">
        <v>1.6903382545784063</v>
      </c>
      <c r="D669" s="191">
        <v>1.7169588739395301</v>
      </c>
      <c r="E669" s="191">
        <v>1.4699567042943831</v>
      </c>
      <c r="F669" s="191">
        <v>1.4895419256445153</v>
      </c>
      <c r="G669" s="191">
        <v>1.2626857708375467</v>
      </c>
      <c r="H669" s="191">
        <v>1.1688347660484393</v>
      </c>
      <c r="I669" s="191">
        <v>1.0871156670944135</v>
      </c>
      <c r="J669" s="191">
        <v>0.97749067917905463</v>
      </c>
      <c r="K669" s="191">
        <v>0.99840639080175853</v>
      </c>
      <c r="L669" s="191">
        <v>0.87671538525247972</v>
      </c>
      <c r="M669" s="191">
        <v>0.8983008834549645</v>
      </c>
      <c r="N669" s="191">
        <v>0.9166930108086413</v>
      </c>
      <c r="O669" s="191">
        <v>0.893563172950253</v>
      </c>
      <c r="P669" s="191">
        <v>1.0391958069307874</v>
      </c>
      <c r="Q669" s="191">
        <v>1.0175599074126027</v>
      </c>
    </row>
    <row r="670" spans="1:17" x14ac:dyDescent="0.35">
      <c r="A670" s="238" t="s">
        <v>351</v>
      </c>
      <c r="B670" s="238" t="s">
        <v>82</v>
      </c>
      <c r="C670" s="191">
        <v>2.7374403605029749</v>
      </c>
      <c r="D670" s="191">
        <v>2.6531680177041568</v>
      </c>
      <c r="E670" s="191">
        <v>2.3746478495781074</v>
      </c>
      <c r="F670" s="191">
        <v>2.3015602356784912</v>
      </c>
      <c r="G670" s="191">
        <v>2.1343633621673237</v>
      </c>
      <c r="H670" s="191">
        <v>2.2543433691103147</v>
      </c>
      <c r="I670" s="191">
        <v>2.3621995961561661</v>
      </c>
      <c r="J670" s="191">
        <v>2.2395715789595965</v>
      </c>
      <c r="K670" s="191">
        <v>2.2315149801129435</v>
      </c>
      <c r="L670" s="191">
        <v>2.5658474287552555</v>
      </c>
      <c r="M670" s="191">
        <v>2.3535271983433366</v>
      </c>
      <c r="N670" s="191">
        <v>2.1753693103690255</v>
      </c>
      <c r="O670" s="191">
        <v>1.9161742444311836</v>
      </c>
      <c r="P670" s="191">
        <v>2.0402872988069793</v>
      </c>
      <c r="Q670" s="191">
        <v>2.3399554549826429</v>
      </c>
    </row>
    <row r="671" spans="1:17" x14ac:dyDescent="0.35">
      <c r="A671" s="238" t="s">
        <v>350</v>
      </c>
      <c r="B671" s="238" t="s">
        <v>82</v>
      </c>
      <c r="C671" s="191">
        <v>7.9972296981919753</v>
      </c>
      <c r="D671" s="191">
        <v>7.8989143255455154</v>
      </c>
      <c r="E671" s="191">
        <v>7.3593902412477634</v>
      </c>
      <c r="F671" s="191">
        <v>7.5923102494889667</v>
      </c>
      <c r="G671" s="191">
        <v>6.7629100784851968</v>
      </c>
      <c r="H671" s="191">
        <v>6.1496520947084807</v>
      </c>
      <c r="I671" s="191">
        <v>5.8613486402636283</v>
      </c>
      <c r="J671" s="191">
        <v>5.8530447286170251</v>
      </c>
      <c r="K671" s="191">
        <v>6.3261226753336075</v>
      </c>
      <c r="L671" s="191">
        <v>7.4687906614648707</v>
      </c>
      <c r="M671" s="191">
        <v>7.079585118618744</v>
      </c>
      <c r="N671" s="191">
        <v>6.6904765531601402</v>
      </c>
      <c r="O671" s="191">
        <v>6.4013600891335241</v>
      </c>
      <c r="P671" s="191">
        <v>7.701962886349043</v>
      </c>
      <c r="Q671" s="191">
        <v>8.3121494982128237</v>
      </c>
    </row>
    <row r="672" spans="1:17" x14ac:dyDescent="0.35">
      <c r="A672" s="238" t="s">
        <v>349</v>
      </c>
      <c r="B672" s="238" t="s">
        <v>82</v>
      </c>
      <c r="C672" s="191">
        <v>2.8148348986360774</v>
      </c>
      <c r="D672" s="191">
        <v>2.7453111311363547</v>
      </c>
      <c r="E672" s="191">
        <v>2.6287270823716198</v>
      </c>
      <c r="F672" s="191">
        <v>2.6599071451695662</v>
      </c>
      <c r="G672" s="191">
        <v>2.5387101246366677</v>
      </c>
      <c r="H672" s="191">
        <v>2.4665722660034266</v>
      </c>
      <c r="I672" s="191">
        <v>2.469370038397535</v>
      </c>
      <c r="J672" s="191">
        <v>2.5002676439075069</v>
      </c>
      <c r="K672" s="191">
        <v>2.5763803421765181</v>
      </c>
      <c r="L672" s="191">
        <v>2.6695802148310936</v>
      </c>
      <c r="M672" s="191">
        <v>2.7472797340606054</v>
      </c>
      <c r="N672" s="191">
        <v>2.5883819547704148</v>
      </c>
      <c r="O672" s="191">
        <v>2.5827382350380548</v>
      </c>
      <c r="P672" s="191">
        <v>2.5709281525712395</v>
      </c>
      <c r="Q672" s="191">
        <v>2.7409628622038191</v>
      </c>
    </row>
    <row r="673" spans="1:17" x14ac:dyDescent="0.35">
      <c r="A673" s="238" t="s">
        <v>348</v>
      </c>
      <c r="B673" s="238" t="s">
        <v>82</v>
      </c>
      <c r="C673" s="191">
        <v>0.34965201090783354</v>
      </c>
      <c r="D673" s="191">
        <v>0.34850968420688389</v>
      </c>
      <c r="E673" s="191">
        <v>0.27905490611744399</v>
      </c>
      <c r="F673" s="191">
        <v>0.27223057794958289</v>
      </c>
      <c r="G673" s="191">
        <v>0.21136922436306088</v>
      </c>
      <c r="H673" s="191">
        <v>0.15806235724746237</v>
      </c>
      <c r="I673" s="191">
        <v>0.14849023557726451</v>
      </c>
      <c r="J673" s="191">
        <v>0.14741882829007508</v>
      </c>
      <c r="K673" s="191">
        <v>0.13840831888843441</v>
      </c>
      <c r="L673" s="191">
        <v>0.13466797467401953</v>
      </c>
      <c r="M673" s="191">
        <v>0.13256471647883097</v>
      </c>
      <c r="N673" s="191">
        <v>0.12398225671433248</v>
      </c>
      <c r="O673" s="191">
        <v>0.11652380828759189</v>
      </c>
      <c r="P673" s="191">
        <v>0.13134038990693306</v>
      </c>
      <c r="Q673" s="191">
        <v>0.16728426817745956</v>
      </c>
    </row>
    <row r="674" spans="1:17" x14ac:dyDescent="0.35">
      <c r="A674" s="238" t="s">
        <v>347</v>
      </c>
      <c r="B674" s="238" t="s">
        <v>82</v>
      </c>
      <c r="C674" s="191">
        <v>8.3665522957762875E-2</v>
      </c>
      <c r="D674" s="191">
        <v>7.6999815538402461E-2</v>
      </c>
      <c r="E674" s="191">
        <v>6.3696212105882721E-2</v>
      </c>
      <c r="F674" s="191">
        <v>5.8340254239730174E-2</v>
      </c>
      <c r="G674" s="191">
        <v>4.2325918786184684E-2</v>
      </c>
      <c r="H674" s="191">
        <v>3.2059540230646902E-2</v>
      </c>
      <c r="I674" s="191">
        <v>2.8074780031246159E-2</v>
      </c>
      <c r="J674" s="191">
        <v>2.7376385420920114E-2</v>
      </c>
      <c r="K674" s="191">
        <v>2.9273900392192111E-2</v>
      </c>
      <c r="L674" s="191">
        <v>2.4577044028479374E-2</v>
      </c>
      <c r="M674" s="191">
        <v>2.5339117161324965E-2</v>
      </c>
      <c r="N674" s="191">
        <v>2.5543833065601596E-2</v>
      </c>
      <c r="O674" s="191">
        <v>2.3424286995571631E-2</v>
      </c>
      <c r="P674" s="191">
        <v>2.3911288618159554E-2</v>
      </c>
      <c r="Q674" s="191">
        <v>2.6689358813394036E-2</v>
      </c>
    </row>
    <row r="675" spans="1:17" x14ac:dyDescent="0.35">
      <c r="A675" s="238" t="s">
        <v>346</v>
      </c>
      <c r="B675" s="238" t="s">
        <v>82</v>
      </c>
      <c r="C675" s="191">
        <v>0.11490861193939238</v>
      </c>
      <c r="D675" s="191">
        <v>0.10811154845918031</v>
      </c>
      <c r="E675" s="191">
        <v>9.7823189399536437E-2</v>
      </c>
      <c r="F675" s="191">
        <v>9.946326835018271E-2</v>
      </c>
      <c r="G675" s="191">
        <v>8.6214798237972179E-2</v>
      </c>
      <c r="H675" s="191">
        <v>6.7886377102094816E-2</v>
      </c>
      <c r="I675" s="191">
        <v>5.8334866072842516E-2</v>
      </c>
      <c r="J675" s="191">
        <v>5.5556835662916422E-2</v>
      </c>
      <c r="K675" s="191">
        <v>4.8682890764563565E-2</v>
      </c>
      <c r="L675" s="191">
        <v>5.9841856401587394E-2</v>
      </c>
      <c r="M675" s="191">
        <v>6.6016799293447073E-2</v>
      </c>
      <c r="N675" s="191">
        <v>6.9349894940046369E-2</v>
      </c>
      <c r="O675" s="191">
        <v>6.7231613589083916E-2</v>
      </c>
      <c r="P675" s="191">
        <v>7.5801871205580115E-2</v>
      </c>
      <c r="Q675" s="191">
        <v>9.6399109517462736E-2</v>
      </c>
    </row>
    <row r="676" spans="1:17" x14ac:dyDescent="0.35">
      <c r="A676" s="238" t="s">
        <v>345</v>
      </c>
      <c r="B676" s="238" t="s">
        <v>82</v>
      </c>
      <c r="C676" s="191">
        <v>2.1260014275788457</v>
      </c>
      <c r="D676" s="191">
        <v>2.0573774284073711</v>
      </c>
      <c r="E676" s="191">
        <v>2.1253813136162818</v>
      </c>
      <c r="F676" s="191">
        <v>1.9796899098853875</v>
      </c>
      <c r="G676" s="191">
        <v>1.8710438855509501</v>
      </c>
      <c r="H676" s="191">
        <v>1.4687557873678239</v>
      </c>
      <c r="I676" s="191">
        <v>1.4589131498308834</v>
      </c>
      <c r="J676" s="191">
        <v>1.4739066155637164</v>
      </c>
      <c r="K676" s="191">
        <v>1.700472171062823</v>
      </c>
      <c r="L676" s="191">
        <v>1.1308947494650821</v>
      </c>
      <c r="M676" s="191">
        <v>1.2406698372753777</v>
      </c>
      <c r="N676" s="191">
        <v>1.1490739423944445</v>
      </c>
      <c r="O676" s="191">
        <v>1.2665482132346975</v>
      </c>
      <c r="P676" s="191">
        <v>1.2983931028176303</v>
      </c>
      <c r="Q676" s="191">
        <v>1.0499525592289427</v>
      </c>
    </row>
    <row r="677" spans="1:17" x14ac:dyDescent="0.35">
      <c r="A677" s="238" t="s">
        <v>344</v>
      </c>
      <c r="B677" s="238" t="s">
        <v>82</v>
      </c>
      <c r="C677" s="191">
        <v>1.3084750756044377</v>
      </c>
      <c r="D677" s="191">
        <v>0.81048914300275021</v>
      </c>
      <c r="E677" s="191">
        <v>1.4617037707221665</v>
      </c>
      <c r="F677" s="191">
        <v>1.4740996259925323</v>
      </c>
      <c r="G677" s="191">
        <v>1.4532688376916307</v>
      </c>
      <c r="H677" s="191">
        <v>0.79034113997214372</v>
      </c>
      <c r="I677" s="191">
        <v>0.67392173244291687</v>
      </c>
      <c r="J677" s="191">
        <v>0.64719813423810124</v>
      </c>
      <c r="K677" s="191">
        <v>0.57787984480539556</v>
      </c>
      <c r="L677" s="191">
        <v>1.1868744116093666</v>
      </c>
      <c r="M677" s="191">
        <v>1.2377147803870046</v>
      </c>
      <c r="N677" s="191">
        <v>1.493035799268893</v>
      </c>
      <c r="O677" s="191">
        <v>1.4076289630531469</v>
      </c>
      <c r="P677" s="191">
        <v>1.9610455757353344</v>
      </c>
      <c r="Q677" s="191">
        <v>2.473662882947921</v>
      </c>
    </row>
    <row r="678" spans="1:17" x14ac:dyDescent="0.35">
      <c r="A678" s="238" t="s">
        <v>343</v>
      </c>
      <c r="B678" s="238" t="s">
        <v>82</v>
      </c>
      <c r="C678" s="191">
        <v>8.0617309811052404E-2</v>
      </c>
      <c r="D678" s="191">
        <v>8.5947468218125544E-2</v>
      </c>
      <c r="E678" s="191">
        <v>8.2277702615464854E-2</v>
      </c>
      <c r="F678" s="191">
        <v>8.7900922275132409E-2</v>
      </c>
      <c r="G678" s="191">
        <v>8.2592651911312001E-2</v>
      </c>
      <c r="H678" s="191">
        <v>7.8030371741326487E-2</v>
      </c>
      <c r="I678" s="191">
        <v>7.6316044248400022E-2</v>
      </c>
      <c r="J678" s="191">
        <v>7.855546769792085E-2</v>
      </c>
      <c r="K678" s="191">
        <v>8.064242615211846E-2</v>
      </c>
      <c r="L678" s="191">
        <v>9.0773410728032675E-2</v>
      </c>
      <c r="M678" s="191">
        <v>9.3571687467573203E-2</v>
      </c>
      <c r="N678" s="191">
        <v>9.6781176444932962E-2</v>
      </c>
      <c r="O678" s="191">
        <v>9.3584901926276165E-2</v>
      </c>
      <c r="P678" s="191">
        <v>9.5205945892818278E-2</v>
      </c>
      <c r="Q678" s="191">
        <v>9.338286988860646E-2</v>
      </c>
    </row>
    <row r="679" spans="1:17" x14ac:dyDescent="0.35">
      <c r="A679" s="238" t="s">
        <v>342</v>
      </c>
      <c r="B679" s="238" t="s">
        <v>82</v>
      </c>
      <c r="C679" s="191">
        <v>2.5721291024246726E-2</v>
      </c>
      <c r="D679" s="191">
        <v>1.6083306734592066E-2</v>
      </c>
      <c r="E679" s="191">
        <v>1.4490815894267404E-2</v>
      </c>
      <c r="F679" s="191">
        <v>1.1709581795349921E-2</v>
      </c>
      <c r="G679" s="191">
        <v>1.1843814344314E-2</v>
      </c>
      <c r="H679" s="191">
        <v>6.4374239825758708E-3</v>
      </c>
      <c r="I679" s="191">
        <v>6.0380900623789643E-3</v>
      </c>
      <c r="J679" s="191">
        <v>6.9243852374849318E-3</v>
      </c>
      <c r="K679" s="191">
        <v>5.8402581381446954E-3</v>
      </c>
      <c r="L679" s="191">
        <v>5.7579078288066072E-3</v>
      </c>
      <c r="M679" s="191">
        <v>6.9122551053270552E-3</v>
      </c>
      <c r="N679" s="191">
        <v>6.7512461712714309E-3</v>
      </c>
      <c r="O679" s="191">
        <v>6.3451109885412568E-3</v>
      </c>
      <c r="P679" s="191">
        <v>1.6012871441109883E-2</v>
      </c>
      <c r="Q679" s="191">
        <v>1.4688616766985556E-2</v>
      </c>
    </row>
    <row r="680" spans="1:17" x14ac:dyDescent="0.35">
      <c r="A680" s="238" t="s">
        <v>341</v>
      </c>
      <c r="B680" s="238" t="s">
        <v>82</v>
      </c>
      <c r="C680" s="191">
        <v>3.5374623477970248E-2</v>
      </c>
      <c r="D680" s="191">
        <v>2.7669882015807064E-2</v>
      </c>
      <c r="E680" s="191">
        <v>1.9705301927951002E-2</v>
      </c>
      <c r="F680" s="191">
        <v>1.7788346538106767E-2</v>
      </c>
      <c r="G680" s="191">
        <v>1.7375946586304866E-2</v>
      </c>
      <c r="H680" s="191">
        <v>1.6274348458232168E-2</v>
      </c>
      <c r="I680" s="191">
        <v>1.727836710245665E-2</v>
      </c>
      <c r="J680" s="191">
        <v>1.7746088363663474E-2</v>
      </c>
      <c r="K680" s="191">
        <v>1.7411017831959769E-2</v>
      </c>
      <c r="L680" s="191">
        <v>1.560001702399118E-2</v>
      </c>
      <c r="M680" s="191">
        <v>1.6716824971548819E-2</v>
      </c>
      <c r="N680" s="191">
        <v>1.5361347240106649E-2</v>
      </c>
      <c r="O680" s="191">
        <v>1.5576581908921505E-2</v>
      </c>
      <c r="P680" s="191">
        <v>2.3605606963863403E-2</v>
      </c>
      <c r="Q680" s="191">
        <v>2.3266987117771691E-2</v>
      </c>
    </row>
    <row r="681" spans="1:17" x14ac:dyDescent="0.35">
      <c r="A681" s="238" t="s">
        <v>340</v>
      </c>
      <c r="B681" s="238" t="s">
        <v>82</v>
      </c>
      <c r="C681" s="191">
        <v>3.7316453987752074E-2</v>
      </c>
      <c r="D681" s="191">
        <v>3.091046696966835E-2</v>
      </c>
      <c r="E681" s="191">
        <v>2.4031385122695918E-2</v>
      </c>
      <c r="F681" s="191">
        <v>1.9608921509661207E-2</v>
      </c>
      <c r="G681" s="191">
        <v>2.1684960868629592E-2</v>
      </c>
      <c r="H681" s="191">
        <v>1.5667218303222808E-2</v>
      </c>
      <c r="I681" s="191">
        <v>1.4353440929141027E-2</v>
      </c>
      <c r="J681" s="191">
        <v>1.681562607212218E-2</v>
      </c>
      <c r="K681" s="191">
        <v>1.6060147006825232E-2</v>
      </c>
      <c r="L681" s="191">
        <v>1.7763624047269853E-2</v>
      </c>
      <c r="M681" s="191">
        <v>1.7737844896048568E-2</v>
      </c>
      <c r="N681" s="191">
        <v>1.563874466158938E-2</v>
      </c>
      <c r="O681" s="191">
        <v>1.5034232682292148E-2</v>
      </c>
      <c r="P681" s="191">
        <v>2.1571032042472842E-2</v>
      </c>
      <c r="Q681" s="191">
        <v>1.9494781005226815E-2</v>
      </c>
    </row>
    <row r="682" spans="1:17" x14ac:dyDescent="0.35">
      <c r="A682" s="238" t="s">
        <v>339</v>
      </c>
      <c r="B682" s="238" t="s">
        <v>82</v>
      </c>
      <c r="C682" s="191">
        <v>0.47227026820671369</v>
      </c>
      <c r="D682" s="191">
        <v>0.47460825688986324</v>
      </c>
      <c r="E682" s="191">
        <v>0.47383107688548043</v>
      </c>
      <c r="F682" s="191">
        <v>0.37039553335700037</v>
      </c>
      <c r="G682" s="191">
        <v>0.37102085338660346</v>
      </c>
      <c r="H682" s="191">
        <v>0.35307411559939295</v>
      </c>
      <c r="I682" s="191">
        <v>0.33593866092970665</v>
      </c>
      <c r="J682" s="191">
        <v>0.33388660638269252</v>
      </c>
      <c r="K682" s="191">
        <v>0.3216559203857432</v>
      </c>
      <c r="L682" s="191">
        <v>0.31421229038755732</v>
      </c>
      <c r="M682" s="191">
        <v>0.29674070365042948</v>
      </c>
      <c r="N682" s="191">
        <v>0.28148205775602242</v>
      </c>
      <c r="O682" s="191">
        <v>0.27497346761202845</v>
      </c>
      <c r="P682" s="191">
        <v>0.30930676588570116</v>
      </c>
      <c r="Q682" s="191">
        <v>0.40393581762507891</v>
      </c>
    </row>
    <row r="683" spans="1:17" x14ac:dyDescent="0.35">
      <c r="A683" s="238" t="s">
        <v>338</v>
      </c>
      <c r="B683" s="238" t="s">
        <v>82</v>
      </c>
      <c r="C683" s="191">
        <v>0.19289283581954494</v>
      </c>
      <c r="D683" s="191">
        <v>0.16574545130667276</v>
      </c>
      <c r="E683" s="191">
        <v>0.19524776114800166</v>
      </c>
      <c r="F683" s="191">
        <v>0.18703942896412112</v>
      </c>
      <c r="G683" s="191">
        <v>0.16542357718750053</v>
      </c>
      <c r="H683" s="191">
        <v>0.14393693859557874</v>
      </c>
      <c r="I683" s="191">
        <v>0.1314425924974032</v>
      </c>
      <c r="J683" s="191">
        <v>0.13094386215497808</v>
      </c>
      <c r="K683" s="191">
        <v>0.12694768625893291</v>
      </c>
      <c r="L683" s="191">
        <v>0.10145820290830995</v>
      </c>
      <c r="M683" s="191">
        <v>9.6040436734685375E-2</v>
      </c>
      <c r="N683" s="191">
        <v>8.0834954678286747E-2</v>
      </c>
      <c r="O683" s="191">
        <v>7.2160141725576027E-2</v>
      </c>
      <c r="P683" s="191">
        <v>6.7703098241357965E-2</v>
      </c>
      <c r="Q683" s="191">
        <v>6.9137658812526329E-2</v>
      </c>
    </row>
    <row r="684" spans="1:17" x14ac:dyDescent="0.35">
      <c r="A684" s="238" t="s">
        <v>337</v>
      </c>
      <c r="B684" s="238" t="s">
        <v>82</v>
      </c>
      <c r="C684" s="191">
        <v>2.0257549859789746E-2</v>
      </c>
      <c r="D684" s="191">
        <v>1.9448944791747077E-2</v>
      </c>
      <c r="E684" s="191">
        <v>1.9280458523735264E-2</v>
      </c>
      <c r="F684" s="191">
        <v>1.762807010271867E-2</v>
      </c>
      <c r="G684" s="191">
        <v>1.6233261604574407E-2</v>
      </c>
      <c r="H684" s="191">
        <v>1.5221325496242827E-2</v>
      </c>
      <c r="I684" s="191">
        <v>1.7148001015014576E-2</v>
      </c>
      <c r="J684" s="191">
        <v>9.2325575043860058E-3</v>
      </c>
      <c r="K684" s="191">
        <v>8.2509264855615758E-3</v>
      </c>
      <c r="L684" s="191">
        <v>8.5343412207365913E-3</v>
      </c>
      <c r="M684" s="191">
        <v>1.1991602081475282E-2</v>
      </c>
      <c r="N684" s="191">
        <v>1.0329416483131851E-2</v>
      </c>
      <c r="O684" s="191">
        <v>1.0122791173485413E-2</v>
      </c>
      <c r="P684" s="191">
        <v>8.0171044072591229E-3</v>
      </c>
      <c r="Q684" s="191">
        <v>9.7923505328753723E-3</v>
      </c>
    </row>
    <row r="685" spans="1:17" x14ac:dyDescent="0.35">
      <c r="A685" s="238" t="s">
        <v>336</v>
      </c>
      <c r="B685" s="238" t="s">
        <v>82</v>
      </c>
      <c r="C685" s="191">
        <v>0</v>
      </c>
      <c r="D685" s="191">
        <v>3.7320077908385635E-9</v>
      </c>
      <c r="E685" s="191">
        <v>2.2663659904102352E-8</v>
      </c>
      <c r="F685" s="191">
        <v>1.8129530502928767E-9</v>
      </c>
      <c r="G685" s="191">
        <v>8.1588879405946263E-10</v>
      </c>
      <c r="H685" s="191">
        <v>1.2475361373085389E-8</v>
      </c>
      <c r="I685" s="191">
        <v>1.8922947444433446E-8</v>
      </c>
      <c r="J685" s="191">
        <v>5.832519874703696E-8</v>
      </c>
      <c r="K685" s="191">
        <v>4.1394275468854056E-8</v>
      </c>
      <c r="L685" s="191">
        <v>0</v>
      </c>
      <c r="M685" s="191">
        <v>9.2047256378110617E-8</v>
      </c>
      <c r="N685" s="191">
        <v>0</v>
      </c>
      <c r="O685" s="191">
        <v>0</v>
      </c>
      <c r="P685" s="191">
        <v>0</v>
      </c>
      <c r="Q685" s="191">
        <v>1.4927273666771165E-6</v>
      </c>
    </row>
    <row r="686" spans="1:17" x14ac:dyDescent="0.35">
      <c r="A686" s="238" t="s">
        <v>335</v>
      </c>
      <c r="B686" s="238" t="s">
        <v>82</v>
      </c>
      <c r="C686" s="191">
        <v>4.9335026592910898E-2</v>
      </c>
      <c r="D686" s="191">
        <v>2.9880114079265312E-2</v>
      </c>
      <c r="E686" s="191">
        <v>2.1769099877484484E-2</v>
      </c>
      <c r="F686" s="191">
        <v>2.0264698559728334E-2</v>
      </c>
      <c r="G686" s="191">
        <v>1.7857791999022384E-2</v>
      </c>
      <c r="H686" s="191">
        <v>1.4372833892743186E-2</v>
      </c>
      <c r="I686" s="191">
        <v>1.1835549572757174E-2</v>
      </c>
      <c r="J686" s="191">
        <v>1.408806635254586E-2</v>
      </c>
      <c r="K686" s="191">
        <v>1.675283806156665E-2</v>
      </c>
      <c r="L686" s="191">
        <v>1.7135600792882889E-2</v>
      </c>
      <c r="M686" s="191">
        <v>2.3635420648333905E-2</v>
      </c>
      <c r="N686" s="191">
        <v>2.5905630959936757E-2</v>
      </c>
      <c r="O686" s="191">
        <v>2.8382091125843972E-2</v>
      </c>
      <c r="P686" s="191">
        <v>3.5127368310808114E-2</v>
      </c>
      <c r="Q686" s="191">
        <v>3.583322404994238E-2</v>
      </c>
    </row>
    <row r="687" spans="1:17" x14ac:dyDescent="0.35">
      <c r="A687" s="238" t="s">
        <v>334</v>
      </c>
      <c r="B687" s="238" t="s">
        <v>82</v>
      </c>
      <c r="C687" s="191">
        <v>8.8021545804897686E-3</v>
      </c>
      <c r="D687" s="191">
        <v>6.849775384173932E-3</v>
      </c>
      <c r="E687" s="191">
        <v>6.3733708133796481E-3</v>
      </c>
      <c r="F687" s="191">
        <v>6.5830774872663034E-3</v>
      </c>
      <c r="G687" s="191">
        <v>8.0343214378606389E-3</v>
      </c>
      <c r="H687" s="191">
        <v>7.3363880967828735E-3</v>
      </c>
      <c r="I687" s="191">
        <v>7.6819852541922624E-3</v>
      </c>
      <c r="J687" s="191">
        <v>8.4047338452720912E-3</v>
      </c>
      <c r="K687" s="191">
        <v>7.886118279475168E-3</v>
      </c>
      <c r="L687" s="191">
        <v>7.3056697068696217E-3</v>
      </c>
      <c r="M687" s="191">
        <v>6.4157877213194192E-3</v>
      </c>
      <c r="N687" s="191">
        <v>5.4973825713085832E-3</v>
      </c>
      <c r="O687" s="191">
        <v>4.0512430857452351E-3</v>
      </c>
      <c r="P687" s="191">
        <v>5.3561141563559832E-3</v>
      </c>
      <c r="Q687" s="191">
        <v>6.3216713926129899E-3</v>
      </c>
    </row>
    <row r="688" spans="1:17" x14ac:dyDescent="0.35">
      <c r="A688" s="238" t="s">
        <v>333</v>
      </c>
      <c r="B688" s="238" t="s">
        <v>82</v>
      </c>
      <c r="C688" s="191">
        <v>1.4962966037717462E-2</v>
      </c>
      <c r="D688" s="191">
        <v>6.999623262715352E-3</v>
      </c>
      <c r="E688" s="191">
        <v>3.6871410062793044E-3</v>
      </c>
      <c r="F688" s="191">
        <v>3.3891821903891508E-3</v>
      </c>
      <c r="G688" s="191">
        <v>3.4949956176403957E-3</v>
      </c>
      <c r="H688" s="191">
        <v>3.4969511236112604E-3</v>
      </c>
      <c r="I688" s="191">
        <v>3.4045480124904604E-3</v>
      </c>
      <c r="J688" s="191">
        <v>4.5723386047147622E-3</v>
      </c>
      <c r="K688" s="191">
        <v>3.151566761297772E-3</v>
      </c>
      <c r="L688" s="191">
        <v>2.7443365134501838E-3</v>
      </c>
      <c r="M688" s="191">
        <v>3.6563880171177408E-3</v>
      </c>
      <c r="N688" s="191">
        <v>3.2615855867879871E-3</v>
      </c>
      <c r="O688" s="191">
        <v>2.9245172234657348E-3</v>
      </c>
      <c r="P688" s="191">
        <v>4.1128427054335582E-3</v>
      </c>
      <c r="Q688" s="191">
        <v>3.5234857215375435E-3</v>
      </c>
    </row>
    <row r="689" spans="1:17" x14ac:dyDescent="0.35">
      <c r="A689" s="238" t="s">
        <v>332</v>
      </c>
      <c r="B689" s="238" t="s">
        <v>82</v>
      </c>
      <c r="C689" s="191">
        <v>5.2288682496140632E-2</v>
      </c>
      <c r="D689" s="191">
        <v>3.6421813306103619E-2</v>
      </c>
      <c r="E689" s="191">
        <v>2.2236844264576505E-2</v>
      </c>
      <c r="F689" s="191">
        <v>2.0547510389879235E-2</v>
      </c>
      <c r="G689" s="191">
        <v>2.261782112835534E-2</v>
      </c>
      <c r="H689" s="191">
        <v>2.1273067203708175E-2</v>
      </c>
      <c r="I689" s="191">
        <v>1.9078580107547097E-2</v>
      </c>
      <c r="J689" s="191">
        <v>2.0302766909292499E-2</v>
      </c>
      <c r="K689" s="191">
        <v>1.7999195620972672E-2</v>
      </c>
      <c r="L689" s="191">
        <v>1.7683685455269195E-2</v>
      </c>
      <c r="M689" s="191">
        <v>1.8537828954760974E-2</v>
      </c>
      <c r="N689" s="191">
        <v>1.700557316702225E-2</v>
      </c>
      <c r="O689" s="191">
        <v>1.2207164859604358E-2</v>
      </c>
      <c r="P689" s="191">
        <v>1.4836353679504581E-2</v>
      </c>
      <c r="Q689" s="191">
        <v>1.4944020301411355E-2</v>
      </c>
    </row>
    <row r="690" spans="1:17" x14ac:dyDescent="0.35">
      <c r="A690" s="238" t="s">
        <v>331</v>
      </c>
      <c r="B690" s="238" t="s">
        <v>82</v>
      </c>
      <c r="C690" s="191">
        <v>2.9830788986078677E-2</v>
      </c>
      <c r="D690" s="191">
        <v>2.9845876171776614E-2</v>
      </c>
      <c r="E690" s="191">
        <v>2.113408923374507E-2</v>
      </c>
      <c r="F690" s="191">
        <v>1.9246162349765873E-2</v>
      </c>
      <c r="G690" s="191">
        <v>1.8921420919380549E-2</v>
      </c>
      <c r="H690" s="191">
        <v>1.7096721854260245E-2</v>
      </c>
      <c r="I690" s="191">
        <v>1.6096878395927348E-2</v>
      </c>
      <c r="J690" s="191">
        <v>1.5985049597349442E-2</v>
      </c>
      <c r="K690" s="191">
        <v>1.7093125327429747E-2</v>
      </c>
      <c r="L690" s="191">
        <v>1.7458486772265309E-2</v>
      </c>
      <c r="M690" s="191">
        <v>1.6628019140136795E-2</v>
      </c>
      <c r="N690" s="191">
        <v>1.5934870158277582E-2</v>
      </c>
      <c r="O690" s="191">
        <v>1.5999333840099075E-2</v>
      </c>
      <c r="P690" s="191">
        <v>2.4502755541621134E-2</v>
      </c>
      <c r="Q690" s="191">
        <v>2.9755588523413663E-2</v>
      </c>
    </row>
    <row r="691" spans="1:17" x14ac:dyDescent="0.35">
      <c r="A691" s="238" t="s">
        <v>330</v>
      </c>
      <c r="B691" s="238" t="s">
        <v>82</v>
      </c>
      <c r="C691" s="191">
        <v>7.4970308929257323E-2</v>
      </c>
      <c r="D691" s="191">
        <v>7.5176732407623334E-2</v>
      </c>
      <c r="E691" s="191">
        <v>5.6973026059831337E-2</v>
      </c>
      <c r="F691" s="191">
        <v>5.1895597772339597E-2</v>
      </c>
      <c r="G691" s="191">
        <v>5.8378980980010847E-2</v>
      </c>
      <c r="H691" s="191">
        <v>5.9572159062379205E-2</v>
      </c>
      <c r="I691" s="191">
        <v>5.5601593327404789E-2</v>
      </c>
      <c r="J691" s="191">
        <v>6.7009766609804955E-2</v>
      </c>
      <c r="K691" s="191">
        <v>7.5500493425958312E-2</v>
      </c>
      <c r="L691" s="191">
        <v>8.2510238612095083E-2</v>
      </c>
      <c r="M691" s="191">
        <v>8.3675370954005082E-2</v>
      </c>
      <c r="N691" s="191">
        <v>7.9035764985443985E-2</v>
      </c>
      <c r="O691" s="191">
        <v>7.9185878214016514E-2</v>
      </c>
      <c r="P691" s="191">
        <v>9.2421576654910131E-2</v>
      </c>
      <c r="Q691" s="191">
        <v>8.2128427517319039E-2</v>
      </c>
    </row>
    <row r="692" spans="1:17" x14ac:dyDescent="0.35">
      <c r="A692" s="238" t="s">
        <v>329</v>
      </c>
      <c r="B692" s="238" t="s">
        <v>82</v>
      </c>
      <c r="C692" s="191">
        <v>0.1919927279978261</v>
      </c>
      <c r="D692" s="191">
        <v>0.19636605203264995</v>
      </c>
      <c r="E692" s="191">
        <v>0.13655203248504122</v>
      </c>
      <c r="F692" s="191">
        <v>0.13531732732379906</v>
      </c>
      <c r="G692" s="191">
        <v>0.12183360291423968</v>
      </c>
      <c r="H692" s="191">
        <v>0.11352346481802379</v>
      </c>
      <c r="I692" s="191">
        <v>0.10736468368656304</v>
      </c>
      <c r="J692" s="191">
        <v>9.9919759536951161E-2</v>
      </c>
      <c r="K692" s="191">
        <v>9.6967672872411495E-2</v>
      </c>
      <c r="L692" s="191">
        <v>8.726517762316098E-2</v>
      </c>
      <c r="M692" s="191">
        <v>7.7283130272049722E-2</v>
      </c>
      <c r="N692" s="191">
        <v>7.7023554017570967E-2</v>
      </c>
      <c r="O692" s="191">
        <v>6.5381956774124478E-2</v>
      </c>
      <c r="P692" s="191">
        <v>0.11079695373357354</v>
      </c>
      <c r="Q692" s="191">
        <v>0.11454600593067781</v>
      </c>
    </row>
    <row r="693" spans="1:17" x14ac:dyDescent="0.35">
      <c r="A693" s="238" t="s">
        <v>328</v>
      </c>
      <c r="B693" s="238" t="s">
        <v>82</v>
      </c>
      <c r="C693" s="191">
        <v>5.8633547853348261E-2</v>
      </c>
      <c r="D693" s="191">
        <v>4.942708233077913E-2</v>
      </c>
      <c r="E693" s="191">
        <v>4.0557906871152904E-2</v>
      </c>
      <c r="F693" s="191">
        <v>3.8221821145094433E-2</v>
      </c>
      <c r="G693" s="191">
        <v>3.4823706400789224E-2</v>
      </c>
      <c r="H693" s="191">
        <v>3.0804019895711035E-2</v>
      </c>
      <c r="I693" s="191">
        <v>2.6921621607820731E-2</v>
      </c>
      <c r="J693" s="191">
        <v>2.454673774799809E-2</v>
      </c>
      <c r="K693" s="191">
        <v>2.701696026679188E-2</v>
      </c>
      <c r="L693" s="191">
        <v>3.0155712106067201E-2</v>
      </c>
      <c r="M693" s="191">
        <v>3.3701894426510906E-2</v>
      </c>
      <c r="N693" s="191">
        <v>4.0421025987261654E-2</v>
      </c>
      <c r="O693" s="191">
        <v>4.7543910250616266E-2</v>
      </c>
      <c r="P693" s="191">
        <v>7.5894950993672869E-2</v>
      </c>
      <c r="Q693" s="191">
        <v>7.8974117210741102E-2</v>
      </c>
    </row>
    <row r="694" spans="1:17" x14ac:dyDescent="0.35">
      <c r="A694" s="238" t="s">
        <v>327</v>
      </c>
      <c r="B694" s="238" t="s">
        <v>82</v>
      </c>
      <c r="C694" s="191">
        <v>6.8195270641859818E-2</v>
      </c>
      <c r="D694" s="191">
        <v>4.5354263112416089E-2</v>
      </c>
      <c r="E694" s="191">
        <v>2.93864371017948E-2</v>
      </c>
      <c r="F694" s="191">
        <v>2.6153967022636167E-2</v>
      </c>
      <c r="G694" s="191">
        <v>4.5908568849051409E-2</v>
      </c>
      <c r="H694" s="191">
        <v>4.2691160629117063E-2</v>
      </c>
      <c r="I694" s="191">
        <v>3.3670880404642486E-2</v>
      </c>
      <c r="J694" s="191">
        <v>4.2387270733363631E-2</v>
      </c>
      <c r="K694" s="191">
        <v>7.0490630763430304E-2</v>
      </c>
      <c r="L694" s="191">
        <v>6.3130109178047483E-2</v>
      </c>
      <c r="M694" s="191">
        <v>5.9517841630384559E-2</v>
      </c>
      <c r="N694" s="191">
        <v>5.5528082109709026E-2</v>
      </c>
      <c r="O694" s="191">
        <v>5.2090285210014645E-2</v>
      </c>
      <c r="P694" s="191">
        <v>8.1202305686379816E-2</v>
      </c>
      <c r="Q694" s="191">
        <v>8.1376429900637731E-2</v>
      </c>
    </row>
    <row r="695" spans="1:17" x14ac:dyDescent="0.35">
      <c r="A695" s="238" t="s">
        <v>326</v>
      </c>
      <c r="B695" s="238" t="s">
        <v>82</v>
      </c>
      <c r="C695" s="191">
        <v>0</v>
      </c>
      <c r="D695" s="191">
        <v>0</v>
      </c>
      <c r="E695" s="191">
        <v>0</v>
      </c>
      <c r="F695" s="191">
        <v>0</v>
      </c>
      <c r="G695" s="191">
        <v>0</v>
      </c>
      <c r="H695" s="191">
        <v>0</v>
      </c>
      <c r="I695" s="191">
        <v>0</v>
      </c>
      <c r="J695" s="191">
        <v>0</v>
      </c>
      <c r="K695" s="191">
        <v>0</v>
      </c>
      <c r="L695" s="191">
        <v>0</v>
      </c>
      <c r="M695" s="191">
        <v>0</v>
      </c>
      <c r="N695" s="191">
        <v>0</v>
      </c>
      <c r="O695" s="191">
        <v>0</v>
      </c>
      <c r="P695" s="191">
        <v>0</v>
      </c>
      <c r="Q695" s="191">
        <v>0</v>
      </c>
    </row>
    <row r="696" spans="1:17" x14ac:dyDescent="0.35">
      <c r="A696" s="238" t="s">
        <v>325</v>
      </c>
      <c r="B696" s="238" t="s">
        <v>82</v>
      </c>
      <c r="C696" s="191">
        <v>1.9292287855864199</v>
      </c>
      <c r="D696" s="191">
        <v>1.896810774626664</v>
      </c>
      <c r="E696" s="191">
        <v>1.824618413949846</v>
      </c>
      <c r="F696" s="191">
        <v>1.7318637451575467</v>
      </c>
      <c r="G696" s="191">
        <v>1.6751619464920318</v>
      </c>
      <c r="H696" s="191">
        <v>1.6321002789446035</v>
      </c>
      <c r="I696" s="191">
        <v>1.6107512722217407</v>
      </c>
      <c r="J696" s="191">
        <v>1.5731526957901498</v>
      </c>
      <c r="K696" s="191">
        <v>1.5600515385601881</v>
      </c>
      <c r="L696" s="191">
        <v>1.5229034112912814</v>
      </c>
      <c r="M696" s="191">
        <v>1.4943019466598868</v>
      </c>
      <c r="N696" s="191">
        <v>1.4585624334472889</v>
      </c>
      <c r="O696" s="191">
        <v>1.4266515027896867</v>
      </c>
      <c r="P696" s="191">
        <v>1.4266013485979456</v>
      </c>
      <c r="Q696" s="191">
        <v>1.4525695196166655</v>
      </c>
    </row>
    <row r="699" spans="1:17" x14ac:dyDescent="0.35">
      <c r="B699"/>
    </row>
    <row r="700" spans="1:17" x14ac:dyDescent="0.35">
      <c r="A700" s="283"/>
      <c r="B700" s="284"/>
      <c r="C700" s="244"/>
      <c r="D700" s="244"/>
      <c r="E700" s="244"/>
      <c r="F700" s="244"/>
      <c r="G700" s="244"/>
      <c r="H700" s="244"/>
      <c r="I700" s="244"/>
      <c r="J700" s="244"/>
      <c r="K700" s="244"/>
      <c r="L700" s="244"/>
      <c r="M700" s="244"/>
      <c r="N700" s="244"/>
      <c r="O700" s="244"/>
      <c r="P700" s="244"/>
      <c r="Q700" s="244"/>
    </row>
    <row r="701" spans="1:17" x14ac:dyDescent="0.35">
      <c r="A701" s="283"/>
      <c r="B701" s="284"/>
      <c r="C701" s="244"/>
      <c r="D701" s="244"/>
      <c r="E701" s="244"/>
      <c r="F701" s="244"/>
      <c r="G701" s="244"/>
      <c r="H701" s="244"/>
      <c r="I701" s="244"/>
      <c r="J701" s="244"/>
      <c r="K701" s="244"/>
      <c r="L701" s="244"/>
      <c r="M701" s="244"/>
      <c r="N701" s="244"/>
      <c r="O701" s="244"/>
      <c r="P701" s="244"/>
      <c r="Q701" s="244"/>
    </row>
    <row r="702" spans="1:17" x14ac:dyDescent="0.35">
      <c r="A702" s="283"/>
      <c r="B702" s="284"/>
      <c r="C702" s="244"/>
      <c r="D702" s="244"/>
      <c r="E702" s="244"/>
      <c r="F702" s="244"/>
      <c r="G702" s="244"/>
      <c r="H702" s="244"/>
      <c r="I702" s="244"/>
      <c r="J702" s="244"/>
      <c r="K702" s="244"/>
      <c r="L702" s="244"/>
      <c r="M702" s="244"/>
      <c r="N702" s="244"/>
      <c r="O702" s="244"/>
      <c r="P702" s="244"/>
      <c r="Q702" s="244"/>
    </row>
    <row r="703" spans="1:17" x14ac:dyDescent="0.35">
      <c r="A703" s="283"/>
      <c r="B703" s="284"/>
      <c r="C703" s="244"/>
      <c r="D703" s="244"/>
      <c r="E703" s="244"/>
      <c r="F703" s="244"/>
      <c r="G703" s="244"/>
      <c r="H703" s="244"/>
      <c r="I703" s="244"/>
      <c r="J703" s="244"/>
      <c r="K703" s="244"/>
      <c r="L703" s="244"/>
      <c r="M703" s="244"/>
      <c r="N703" s="244"/>
      <c r="O703" s="244"/>
      <c r="P703" s="244"/>
      <c r="Q703" s="244"/>
    </row>
    <row r="704" spans="1:17" x14ac:dyDescent="0.35">
      <c r="A704" s="283"/>
      <c r="B704" s="284"/>
      <c r="C704" s="244"/>
      <c r="D704" s="244"/>
      <c r="E704" s="244"/>
      <c r="F704" s="244"/>
      <c r="G704" s="244"/>
      <c r="H704" s="244"/>
      <c r="I704" s="244"/>
      <c r="J704" s="244"/>
      <c r="K704" s="244"/>
      <c r="L704" s="244"/>
      <c r="M704" s="244"/>
      <c r="N704" s="244"/>
      <c r="O704" s="244"/>
      <c r="P704" s="244"/>
      <c r="Q704" s="244"/>
    </row>
    <row r="705" spans="1:17" x14ac:dyDescent="0.35">
      <c r="A705" s="283"/>
      <c r="B705" s="284"/>
      <c r="C705" s="244"/>
      <c r="D705" s="244"/>
      <c r="E705" s="244"/>
      <c r="F705" s="244"/>
      <c r="G705" s="244"/>
      <c r="H705" s="244"/>
      <c r="I705" s="244"/>
      <c r="J705" s="244"/>
      <c r="K705" s="244"/>
      <c r="L705" s="244"/>
      <c r="M705" s="244"/>
      <c r="N705" s="244"/>
      <c r="O705" s="244"/>
      <c r="P705" s="244"/>
      <c r="Q705" s="244"/>
    </row>
    <row r="706" spans="1:17" x14ac:dyDescent="0.35">
      <c r="A706" s="283"/>
      <c r="B706" s="284"/>
      <c r="C706" s="244"/>
      <c r="D706" s="244"/>
      <c r="E706" s="244"/>
      <c r="F706" s="244"/>
      <c r="G706" s="244"/>
      <c r="H706" s="244"/>
      <c r="I706" s="244"/>
      <c r="J706" s="244"/>
      <c r="K706" s="244"/>
      <c r="L706" s="244"/>
      <c r="M706" s="244"/>
      <c r="N706" s="244"/>
      <c r="O706" s="244"/>
      <c r="P706" s="244"/>
      <c r="Q706" s="244"/>
    </row>
    <row r="707" spans="1:17" x14ac:dyDescent="0.35">
      <c r="A707" s="283"/>
      <c r="B707" s="284"/>
      <c r="C707" s="244"/>
      <c r="D707" s="244"/>
      <c r="E707" s="244"/>
      <c r="F707" s="244"/>
      <c r="G707" s="244"/>
      <c r="H707" s="244"/>
      <c r="I707" s="244"/>
      <c r="J707" s="244"/>
      <c r="K707" s="244"/>
      <c r="L707" s="244"/>
      <c r="M707" s="244"/>
      <c r="N707" s="244"/>
      <c r="O707" s="244"/>
      <c r="P707" s="244"/>
      <c r="Q707" s="244"/>
    </row>
    <row r="708" spans="1:17" x14ac:dyDescent="0.35">
      <c r="A708" s="283"/>
      <c r="B708" s="284"/>
      <c r="C708" s="244"/>
      <c r="D708" s="244"/>
      <c r="E708" s="244"/>
      <c r="F708" s="244"/>
      <c r="G708" s="244"/>
      <c r="H708" s="244"/>
      <c r="I708" s="244"/>
      <c r="J708" s="244"/>
      <c r="K708" s="244"/>
      <c r="L708" s="244"/>
      <c r="M708" s="244"/>
      <c r="N708" s="244"/>
      <c r="O708" s="244"/>
      <c r="P708" s="244"/>
      <c r="Q708" s="244"/>
    </row>
    <row r="709" spans="1:17" x14ac:dyDescent="0.35">
      <c r="A709" s="283"/>
      <c r="B709" s="284"/>
      <c r="C709" s="244"/>
      <c r="D709" s="244"/>
      <c r="E709" s="244"/>
      <c r="F709" s="244"/>
      <c r="G709" s="244"/>
      <c r="H709" s="244"/>
      <c r="I709" s="244"/>
      <c r="J709" s="244"/>
      <c r="K709" s="244"/>
      <c r="L709" s="244"/>
      <c r="M709" s="244"/>
      <c r="N709" s="244"/>
      <c r="O709" s="244"/>
      <c r="P709" s="244"/>
      <c r="Q709" s="244"/>
    </row>
    <row r="710" spans="1:17" x14ac:dyDescent="0.35">
      <c r="A710" s="283"/>
      <c r="B710" s="284"/>
      <c r="C710" s="244"/>
      <c r="D710" s="244"/>
      <c r="E710" s="244"/>
      <c r="F710" s="244"/>
      <c r="G710" s="244"/>
      <c r="H710" s="244"/>
      <c r="I710" s="244"/>
      <c r="J710" s="244"/>
      <c r="K710" s="244"/>
      <c r="L710" s="244"/>
      <c r="M710" s="244"/>
      <c r="N710" s="244"/>
      <c r="O710" s="244"/>
      <c r="P710" s="244"/>
      <c r="Q710" s="244"/>
    </row>
    <row r="711" spans="1:17" x14ac:dyDescent="0.35">
      <c r="A711" s="283"/>
      <c r="B711" s="284"/>
      <c r="C711" s="244"/>
      <c r="D711" s="244"/>
      <c r="E711" s="244"/>
      <c r="F711" s="244"/>
      <c r="G711" s="244"/>
      <c r="H711" s="244"/>
      <c r="I711" s="244"/>
      <c r="J711" s="244"/>
      <c r="K711" s="244"/>
      <c r="L711" s="244"/>
      <c r="M711" s="244"/>
      <c r="N711" s="244"/>
      <c r="O711" s="244"/>
      <c r="P711" s="244"/>
      <c r="Q711" s="244"/>
    </row>
    <row r="712" spans="1:17" x14ac:dyDescent="0.35">
      <c r="A712" s="283"/>
      <c r="B712" s="284"/>
      <c r="C712" s="244"/>
      <c r="D712" s="244"/>
      <c r="E712" s="244"/>
      <c r="F712" s="244"/>
      <c r="G712" s="244"/>
      <c r="H712" s="244"/>
      <c r="I712" s="244"/>
      <c r="J712" s="244"/>
      <c r="K712" s="244"/>
      <c r="L712" s="244"/>
      <c r="M712" s="244"/>
      <c r="N712" s="244"/>
      <c r="O712" s="244"/>
      <c r="P712" s="244"/>
      <c r="Q712" s="244"/>
    </row>
    <row r="713" spans="1:17" x14ac:dyDescent="0.35">
      <c r="A713" s="283"/>
      <c r="B713" s="284"/>
      <c r="C713" s="244"/>
      <c r="D713" s="244"/>
      <c r="E713" s="244"/>
      <c r="F713" s="244"/>
      <c r="G713" s="244"/>
      <c r="H713" s="244"/>
      <c r="I713" s="244"/>
      <c r="J713" s="244"/>
      <c r="K713" s="244"/>
      <c r="L713" s="244"/>
      <c r="M713" s="244"/>
      <c r="N713" s="244"/>
      <c r="O713" s="244"/>
      <c r="P713" s="244"/>
      <c r="Q713" s="244"/>
    </row>
    <row r="714" spans="1:17" x14ac:dyDescent="0.35">
      <c r="A714" s="283"/>
      <c r="B714" s="284"/>
      <c r="C714" s="244"/>
      <c r="D714" s="244"/>
      <c r="E714" s="244"/>
      <c r="F714" s="244"/>
      <c r="G714" s="244"/>
      <c r="H714" s="244"/>
      <c r="I714" s="244"/>
      <c r="J714" s="244"/>
      <c r="K714" s="244"/>
      <c r="L714" s="244"/>
      <c r="M714" s="244"/>
      <c r="N714" s="244"/>
      <c r="O714" s="244"/>
      <c r="P714" s="244"/>
      <c r="Q714" s="244"/>
    </row>
    <row r="715" spans="1:17" x14ac:dyDescent="0.35">
      <c r="A715" s="283"/>
      <c r="B715" s="284"/>
      <c r="C715" s="244"/>
      <c r="D715" s="244"/>
      <c r="E715" s="244"/>
      <c r="F715" s="244"/>
      <c r="G715" s="244"/>
      <c r="H715" s="244"/>
      <c r="I715" s="244"/>
      <c r="J715" s="244"/>
      <c r="K715" s="244"/>
      <c r="L715" s="244"/>
      <c r="M715" s="244"/>
      <c r="N715" s="244"/>
      <c r="O715" s="244"/>
      <c r="P715" s="244"/>
      <c r="Q715" s="244"/>
    </row>
    <row r="716" spans="1:17" x14ac:dyDescent="0.35">
      <c r="A716" s="283"/>
      <c r="B716" s="284"/>
      <c r="C716" s="244"/>
      <c r="D716" s="244"/>
      <c r="E716" s="244"/>
      <c r="F716" s="244"/>
      <c r="G716" s="244"/>
      <c r="H716" s="244"/>
      <c r="I716" s="244"/>
      <c r="J716" s="244"/>
      <c r="K716" s="244"/>
      <c r="L716" s="244"/>
      <c r="M716" s="244"/>
      <c r="N716" s="244"/>
      <c r="O716" s="244"/>
      <c r="P716" s="244"/>
      <c r="Q716" s="244"/>
    </row>
    <row r="717" spans="1:17" x14ac:dyDescent="0.35">
      <c r="A717" s="283"/>
      <c r="B717" s="284"/>
      <c r="C717" s="244"/>
      <c r="D717" s="244"/>
      <c r="E717" s="244"/>
      <c r="F717" s="244"/>
      <c r="G717" s="244"/>
      <c r="H717" s="244"/>
      <c r="I717" s="244"/>
      <c r="J717" s="244"/>
      <c r="K717" s="244"/>
      <c r="L717" s="244"/>
      <c r="M717" s="244"/>
      <c r="N717" s="244"/>
      <c r="O717" s="244"/>
      <c r="P717" s="244"/>
      <c r="Q717" s="244"/>
    </row>
    <row r="718" spans="1:17" x14ac:dyDescent="0.35">
      <c r="A718" s="283"/>
      <c r="B718" s="284"/>
      <c r="C718" s="244"/>
      <c r="D718" s="244"/>
      <c r="E718" s="244"/>
      <c r="F718" s="244"/>
      <c r="G718" s="244"/>
      <c r="H718" s="244"/>
      <c r="I718" s="244"/>
      <c r="J718" s="244"/>
      <c r="K718" s="244"/>
      <c r="L718" s="244"/>
      <c r="M718" s="244"/>
      <c r="N718" s="244"/>
      <c r="O718" s="244"/>
      <c r="P718" s="244"/>
      <c r="Q718" s="244"/>
    </row>
    <row r="719" spans="1:17" x14ac:dyDescent="0.35">
      <c r="A719" s="283"/>
      <c r="B719" s="284"/>
      <c r="C719" s="244"/>
      <c r="D719" s="244"/>
      <c r="E719" s="244"/>
      <c r="F719" s="244"/>
      <c r="G719" s="244"/>
      <c r="H719" s="244"/>
      <c r="I719" s="244"/>
      <c r="J719" s="244"/>
      <c r="K719" s="244"/>
      <c r="L719" s="244"/>
      <c r="M719" s="244"/>
      <c r="N719" s="244"/>
      <c r="O719" s="244"/>
      <c r="P719" s="244"/>
      <c r="Q719" s="244"/>
    </row>
    <row r="720" spans="1:17" x14ac:dyDescent="0.35">
      <c r="A720" s="283"/>
      <c r="B720" s="284"/>
      <c r="C720" s="244"/>
      <c r="D720" s="244"/>
      <c r="E720" s="244"/>
      <c r="F720" s="244"/>
      <c r="G720" s="244"/>
      <c r="H720" s="244"/>
      <c r="I720" s="244"/>
      <c r="J720" s="244"/>
      <c r="K720" s="244"/>
      <c r="L720" s="244"/>
      <c r="M720" s="244"/>
      <c r="N720" s="244"/>
      <c r="O720" s="244"/>
      <c r="P720" s="244"/>
      <c r="Q720" s="244"/>
    </row>
    <row r="721" spans="1:17" x14ac:dyDescent="0.35">
      <c r="A721" s="283"/>
      <c r="B721" s="284"/>
      <c r="C721" s="244"/>
      <c r="D721" s="244"/>
      <c r="E721" s="244"/>
      <c r="F721" s="244"/>
      <c r="G721" s="244"/>
      <c r="H721" s="244"/>
      <c r="I721" s="244"/>
      <c r="J721" s="244"/>
      <c r="K721" s="244"/>
      <c r="L721" s="244"/>
      <c r="M721" s="244"/>
      <c r="N721" s="244"/>
      <c r="O721" s="244"/>
      <c r="P721" s="244"/>
      <c r="Q721" s="244"/>
    </row>
    <row r="722" spans="1:17" x14ac:dyDescent="0.35">
      <c r="A722" s="283"/>
      <c r="B722" s="284"/>
      <c r="C722" s="244"/>
      <c r="D722" s="244"/>
      <c r="E722" s="244"/>
      <c r="F722" s="244"/>
      <c r="G722" s="244"/>
      <c r="H722" s="244"/>
      <c r="I722" s="244"/>
      <c r="J722" s="244"/>
      <c r="K722" s="244"/>
      <c r="L722" s="244"/>
      <c r="M722" s="244"/>
      <c r="N722" s="244"/>
      <c r="O722" s="244"/>
      <c r="P722" s="244"/>
      <c r="Q722" s="244"/>
    </row>
    <row r="723" spans="1:17" x14ac:dyDescent="0.35">
      <c r="A723" s="283"/>
      <c r="B723" s="284"/>
      <c r="C723" s="244"/>
      <c r="D723" s="244"/>
      <c r="E723" s="244"/>
      <c r="F723" s="244"/>
      <c r="G723" s="244"/>
      <c r="H723" s="244"/>
      <c r="I723" s="244"/>
      <c r="J723" s="244"/>
      <c r="K723" s="244"/>
      <c r="L723" s="244"/>
      <c r="M723" s="244"/>
      <c r="N723" s="244"/>
      <c r="O723" s="244"/>
      <c r="P723" s="244"/>
      <c r="Q723" s="244"/>
    </row>
    <row r="724" spans="1:17" x14ac:dyDescent="0.35">
      <c r="A724" s="283"/>
      <c r="B724" s="284"/>
      <c r="C724" s="244"/>
      <c r="D724" s="244"/>
      <c r="E724" s="244"/>
      <c r="F724" s="244"/>
      <c r="G724" s="244"/>
      <c r="H724" s="244"/>
      <c r="I724" s="244"/>
      <c r="J724" s="244"/>
      <c r="K724" s="244"/>
      <c r="L724" s="244"/>
      <c r="M724" s="244"/>
      <c r="N724" s="244"/>
      <c r="O724" s="244"/>
      <c r="P724" s="244"/>
      <c r="Q724" s="244"/>
    </row>
    <row r="725" spans="1:17" x14ac:dyDescent="0.35">
      <c r="A725" s="283"/>
      <c r="B725" s="284"/>
      <c r="C725" s="244"/>
      <c r="D725" s="244"/>
      <c r="E725" s="244"/>
      <c r="F725" s="244"/>
      <c r="G725" s="244"/>
      <c r="H725" s="244"/>
      <c r="I725" s="244"/>
      <c r="J725" s="244"/>
      <c r="K725" s="244"/>
      <c r="L725" s="244"/>
      <c r="M725" s="244"/>
      <c r="N725" s="244"/>
      <c r="O725" s="244"/>
      <c r="P725" s="244"/>
      <c r="Q725" s="244"/>
    </row>
    <row r="726" spans="1:17" x14ac:dyDescent="0.35">
      <c r="A726" s="283"/>
      <c r="B726" s="284"/>
      <c r="C726" s="244"/>
      <c r="D726" s="244"/>
      <c r="E726" s="244"/>
      <c r="F726" s="244"/>
      <c r="G726" s="244"/>
      <c r="H726" s="244"/>
      <c r="I726" s="244"/>
      <c r="J726" s="244"/>
      <c r="K726" s="244"/>
      <c r="L726" s="244"/>
      <c r="M726" s="244"/>
      <c r="N726" s="244"/>
      <c r="O726" s="244"/>
      <c r="P726" s="244"/>
      <c r="Q726" s="244"/>
    </row>
    <row r="727" spans="1:17" x14ac:dyDescent="0.35">
      <c r="A727" s="283"/>
      <c r="B727" s="284"/>
      <c r="C727" s="244"/>
      <c r="D727" s="244"/>
      <c r="E727" s="244"/>
      <c r="F727" s="244"/>
      <c r="G727" s="244"/>
      <c r="H727" s="244"/>
      <c r="I727" s="244"/>
      <c r="J727" s="244"/>
      <c r="K727" s="244"/>
      <c r="L727" s="244"/>
      <c r="M727" s="244"/>
      <c r="N727" s="244"/>
      <c r="O727" s="244"/>
      <c r="P727" s="244"/>
      <c r="Q727" s="244"/>
    </row>
    <row r="728" spans="1:17" x14ac:dyDescent="0.35">
      <c r="A728" s="283"/>
      <c r="B728" s="284"/>
      <c r="C728" s="244"/>
      <c r="D728" s="244"/>
      <c r="E728" s="244"/>
      <c r="F728" s="244"/>
      <c r="G728" s="244"/>
      <c r="H728" s="244"/>
      <c r="I728" s="244"/>
      <c r="J728" s="244"/>
      <c r="K728" s="244"/>
      <c r="L728" s="244"/>
      <c r="M728" s="244"/>
      <c r="N728" s="244"/>
      <c r="O728" s="244"/>
      <c r="P728" s="244"/>
      <c r="Q728" s="244"/>
    </row>
    <row r="729" spans="1:17" x14ac:dyDescent="0.35">
      <c r="A729" s="283"/>
      <c r="B729" s="284"/>
      <c r="C729" s="244"/>
      <c r="D729" s="244"/>
      <c r="E729" s="244"/>
      <c r="F729" s="244"/>
      <c r="G729" s="244"/>
      <c r="H729" s="244"/>
      <c r="I729" s="244"/>
      <c r="J729" s="244"/>
      <c r="K729" s="244"/>
      <c r="L729" s="244"/>
      <c r="M729" s="244"/>
      <c r="N729" s="244"/>
      <c r="O729" s="244"/>
      <c r="P729" s="244"/>
      <c r="Q729" s="244"/>
    </row>
    <row r="730" spans="1:17" x14ac:dyDescent="0.35">
      <c r="A730" s="283"/>
      <c r="B730" s="284"/>
      <c r="C730" s="244"/>
      <c r="D730" s="244"/>
      <c r="E730" s="244"/>
      <c r="F730" s="244"/>
      <c r="G730" s="244"/>
      <c r="H730" s="244"/>
      <c r="I730" s="244"/>
      <c r="J730" s="244"/>
      <c r="K730" s="244"/>
      <c r="L730" s="244"/>
      <c r="M730" s="244"/>
      <c r="N730" s="244"/>
      <c r="O730" s="244"/>
      <c r="P730" s="244"/>
      <c r="Q730" s="244"/>
    </row>
    <row r="731" spans="1:17" x14ac:dyDescent="0.35">
      <c r="A731" s="283"/>
      <c r="B731" s="284"/>
      <c r="C731" s="244"/>
      <c r="D731" s="244"/>
      <c r="E731" s="244"/>
      <c r="F731" s="244"/>
      <c r="G731" s="244"/>
      <c r="H731" s="244"/>
      <c r="I731" s="244"/>
      <c r="J731" s="244"/>
      <c r="K731" s="244"/>
      <c r="L731" s="244"/>
      <c r="M731" s="244"/>
      <c r="N731" s="244"/>
      <c r="O731" s="244"/>
      <c r="P731" s="244"/>
      <c r="Q731" s="244"/>
    </row>
    <row r="732" spans="1:17" x14ac:dyDescent="0.35">
      <c r="A732" s="283"/>
      <c r="B732" s="284"/>
      <c r="C732" s="244"/>
      <c r="D732" s="244"/>
      <c r="E732" s="244"/>
      <c r="F732" s="244"/>
      <c r="G732" s="244"/>
      <c r="H732" s="244"/>
      <c r="I732" s="244"/>
      <c r="J732" s="244"/>
      <c r="K732" s="244"/>
      <c r="L732" s="244"/>
      <c r="M732" s="244"/>
      <c r="N732" s="244"/>
      <c r="O732" s="244"/>
      <c r="P732" s="244"/>
      <c r="Q732" s="244"/>
    </row>
    <row r="733" spans="1:17" x14ac:dyDescent="0.35">
      <c r="A733" s="283"/>
      <c r="B733" s="284"/>
      <c r="C733" s="244"/>
      <c r="D733" s="244"/>
      <c r="E733" s="244"/>
      <c r="F733" s="244"/>
      <c r="G733" s="244"/>
      <c r="H733" s="244"/>
      <c r="I733" s="244"/>
      <c r="J733" s="244"/>
      <c r="K733" s="244"/>
      <c r="L733" s="244"/>
      <c r="M733" s="244"/>
      <c r="N733" s="244"/>
      <c r="O733" s="244"/>
      <c r="P733" s="244"/>
      <c r="Q733" s="244"/>
    </row>
    <row r="734" spans="1:17" x14ac:dyDescent="0.35">
      <c r="A734" s="283"/>
      <c r="B734" s="284"/>
      <c r="C734" s="244"/>
      <c r="D734" s="244"/>
      <c r="E734" s="244"/>
      <c r="F734" s="244"/>
      <c r="G734" s="244"/>
      <c r="H734" s="244"/>
      <c r="I734" s="244"/>
      <c r="J734" s="244"/>
      <c r="K734" s="244"/>
      <c r="L734" s="244"/>
      <c r="M734" s="244"/>
      <c r="N734" s="244"/>
      <c r="O734" s="244"/>
      <c r="P734" s="244"/>
      <c r="Q734" s="244"/>
    </row>
    <row r="735" spans="1:17" x14ac:dyDescent="0.35">
      <c r="A735" s="283"/>
      <c r="B735" s="284"/>
      <c r="C735" s="244"/>
      <c r="D735" s="244"/>
      <c r="E735" s="244"/>
      <c r="F735" s="244"/>
      <c r="G735" s="244"/>
      <c r="H735" s="244"/>
      <c r="I735" s="244"/>
      <c r="J735" s="244"/>
      <c r="K735" s="244"/>
      <c r="L735" s="244"/>
      <c r="M735" s="244"/>
      <c r="N735" s="244"/>
      <c r="O735" s="244"/>
      <c r="P735" s="244"/>
      <c r="Q735" s="244"/>
    </row>
    <row r="736" spans="1:17" x14ac:dyDescent="0.35">
      <c r="A736" s="283"/>
      <c r="B736" s="284"/>
      <c r="C736" s="244"/>
      <c r="D736" s="244"/>
      <c r="E736" s="244"/>
      <c r="F736" s="244"/>
      <c r="G736" s="244"/>
      <c r="H736" s="244"/>
      <c r="I736" s="244"/>
      <c r="J736" s="244"/>
      <c r="K736" s="244"/>
      <c r="L736" s="244"/>
      <c r="M736" s="244"/>
      <c r="N736" s="244"/>
      <c r="O736" s="244"/>
      <c r="P736" s="244"/>
      <c r="Q736" s="244"/>
    </row>
    <row r="737" spans="1:17" x14ac:dyDescent="0.35">
      <c r="A737" s="283"/>
      <c r="B737" s="284"/>
      <c r="C737" s="244"/>
      <c r="D737" s="244"/>
      <c r="E737" s="244"/>
      <c r="F737" s="244"/>
      <c r="G737" s="244"/>
      <c r="H737" s="244"/>
      <c r="I737" s="244"/>
      <c r="J737" s="244"/>
      <c r="K737" s="244"/>
      <c r="L737" s="244"/>
      <c r="M737" s="244"/>
      <c r="N737" s="244"/>
      <c r="O737" s="244"/>
      <c r="P737" s="244"/>
      <c r="Q737" s="244"/>
    </row>
    <row r="738" spans="1:17" x14ac:dyDescent="0.35">
      <c r="A738" s="283"/>
      <c r="B738" s="284"/>
      <c r="C738" s="244"/>
      <c r="D738" s="244"/>
      <c r="E738" s="244"/>
      <c r="F738" s="244"/>
      <c r="G738" s="244"/>
      <c r="H738" s="244"/>
      <c r="I738" s="244"/>
      <c r="J738" s="244"/>
      <c r="K738" s="244"/>
      <c r="L738" s="244"/>
      <c r="M738" s="244"/>
      <c r="N738" s="244"/>
      <c r="O738" s="244"/>
      <c r="P738" s="244"/>
      <c r="Q738" s="244"/>
    </row>
    <row r="739" spans="1:17" x14ac:dyDescent="0.35">
      <c r="A739" s="283"/>
      <c r="B739" s="284"/>
      <c r="C739" s="244"/>
      <c r="D739" s="244"/>
      <c r="E739" s="244"/>
      <c r="F739" s="244"/>
      <c r="G739" s="244"/>
      <c r="H739" s="244"/>
      <c r="I739" s="244"/>
      <c r="J739" s="244"/>
      <c r="K739" s="244"/>
      <c r="L739" s="244"/>
      <c r="M739" s="244"/>
      <c r="N739" s="244"/>
      <c r="O739" s="244"/>
      <c r="P739" s="244"/>
      <c r="Q739" s="244"/>
    </row>
    <row r="740" spans="1:17" x14ac:dyDescent="0.35">
      <c r="A740" s="283"/>
      <c r="B740" s="284"/>
      <c r="C740" s="244"/>
      <c r="D740" s="244"/>
      <c r="E740" s="244"/>
      <c r="F740" s="244"/>
      <c r="G740" s="244"/>
      <c r="H740" s="244"/>
      <c r="I740" s="244"/>
      <c r="J740" s="244"/>
      <c r="K740" s="244"/>
      <c r="L740" s="244"/>
      <c r="M740" s="244"/>
      <c r="N740" s="244"/>
      <c r="O740" s="244"/>
      <c r="P740" s="244"/>
      <c r="Q740" s="244"/>
    </row>
    <row r="741" spans="1:17" x14ac:dyDescent="0.35">
      <c r="A741" s="283"/>
      <c r="B741" s="284"/>
      <c r="C741" s="244"/>
      <c r="D741" s="244"/>
      <c r="E741" s="244"/>
      <c r="F741" s="244"/>
      <c r="G741" s="244"/>
      <c r="H741" s="244"/>
      <c r="I741" s="244"/>
      <c r="J741" s="244"/>
      <c r="K741" s="244"/>
      <c r="L741" s="244"/>
      <c r="M741" s="244"/>
      <c r="N741" s="244"/>
      <c r="O741" s="244"/>
      <c r="P741" s="244"/>
      <c r="Q741" s="244"/>
    </row>
    <row r="742" spans="1:17" x14ac:dyDescent="0.35">
      <c r="A742" s="283"/>
      <c r="B742" s="284"/>
      <c r="C742" s="244"/>
      <c r="D742" s="244"/>
      <c r="E742" s="244"/>
      <c r="F742" s="244"/>
      <c r="G742" s="244"/>
      <c r="H742" s="244"/>
      <c r="I742" s="244"/>
      <c r="J742" s="244"/>
      <c r="K742" s="244"/>
      <c r="L742" s="244"/>
      <c r="M742" s="244"/>
      <c r="N742" s="244"/>
      <c r="O742" s="244"/>
      <c r="P742" s="244"/>
      <c r="Q742" s="244"/>
    </row>
    <row r="743" spans="1:17" x14ac:dyDescent="0.35">
      <c r="A743" s="283"/>
      <c r="B743" s="284"/>
      <c r="C743" s="244"/>
      <c r="D743" s="244"/>
      <c r="E743" s="244"/>
      <c r="F743" s="244"/>
      <c r="G743" s="244"/>
      <c r="H743" s="244"/>
      <c r="I743" s="244"/>
      <c r="J743" s="244"/>
      <c r="K743" s="244"/>
      <c r="L743" s="244"/>
      <c r="M743" s="244"/>
      <c r="N743" s="244"/>
      <c r="O743" s="244"/>
      <c r="P743" s="244"/>
      <c r="Q743" s="244"/>
    </row>
    <row r="744" spans="1:17" x14ac:dyDescent="0.35">
      <c r="A744" s="283"/>
      <c r="B744" s="284"/>
      <c r="C744" s="244"/>
      <c r="D744" s="244"/>
      <c r="E744" s="244"/>
      <c r="F744" s="244"/>
      <c r="G744" s="244"/>
      <c r="H744" s="244"/>
      <c r="I744" s="244"/>
      <c r="J744" s="244"/>
      <c r="K744" s="244"/>
      <c r="L744" s="244"/>
      <c r="M744" s="244"/>
      <c r="N744" s="244"/>
      <c r="O744" s="244"/>
      <c r="P744" s="244"/>
      <c r="Q744" s="244"/>
    </row>
    <row r="745" spans="1:17" x14ac:dyDescent="0.35">
      <c r="A745" s="283"/>
      <c r="B745" s="284"/>
      <c r="C745" s="244"/>
      <c r="D745" s="244"/>
      <c r="E745" s="244"/>
      <c r="F745" s="244"/>
      <c r="G745" s="244"/>
      <c r="H745" s="244"/>
      <c r="I745" s="244"/>
      <c r="J745" s="244"/>
      <c r="K745" s="244"/>
      <c r="L745" s="244"/>
      <c r="M745" s="244"/>
      <c r="N745" s="244"/>
      <c r="O745" s="244"/>
      <c r="P745" s="244"/>
      <c r="Q745" s="244"/>
    </row>
    <row r="746" spans="1:17" x14ac:dyDescent="0.35">
      <c r="A746" s="283"/>
      <c r="B746" s="284"/>
      <c r="C746" s="244"/>
      <c r="D746" s="244"/>
      <c r="E746" s="244"/>
      <c r="F746" s="244"/>
      <c r="G746" s="244"/>
      <c r="H746" s="244"/>
      <c r="I746" s="244"/>
      <c r="J746" s="244"/>
      <c r="K746" s="244"/>
      <c r="L746" s="244"/>
      <c r="M746" s="244"/>
      <c r="N746" s="244"/>
      <c r="O746" s="244"/>
      <c r="P746" s="244"/>
      <c r="Q746" s="244"/>
    </row>
    <row r="747" spans="1:17" x14ac:dyDescent="0.35">
      <c r="A747" s="283"/>
      <c r="B747" s="284"/>
      <c r="C747" s="244"/>
      <c r="D747" s="244"/>
      <c r="E747" s="244"/>
      <c r="F747" s="244"/>
      <c r="G747" s="244"/>
      <c r="H747" s="244"/>
      <c r="I747" s="244"/>
      <c r="J747" s="244"/>
      <c r="K747" s="244"/>
      <c r="L747" s="244"/>
      <c r="M747" s="244"/>
      <c r="N747" s="244"/>
      <c r="O747" s="244"/>
      <c r="P747" s="244"/>
      <c r="Q747" s="244"/>
    </row>
    <row r="748" spans="1:17" x14ac:dyDescent="0.35">
      <c r="A748" s="283"/>
      <c r="B748" s="284"/>
      <c r="C748" s="244"/>
      <c r="D748" s="244"/>
      <c r="E748" s="244"/>
      <c r="F748" s="244"/>
      <c r="G748" s="244"/>
      <c r="H748" s="244"/>
      <c r="I748" s="244"/>
      <c r="J748" s="244"/>
      <c r="K748" s="244"/>
      <c r="L748" s="244"/>
      <c r="M748" s="244"/>
      <c r="N748" s="244"/>
      <c r="O748" s="244"/>
      <c r="P748" s="244"/>
      <c r="Q748" s="244"/>
    </row>
    <row r="749" spans="1:17" x14ac:dyDescent="0.35">
      <c r="A749" s="283"/>
      <c r="B749" s="284"/>
      <c r="C749" s="244"/>
      <c r="D749" s="244"/>
      <c r="E749" s="244"/>
      <c r="F749" s="244"/>
      <c r="G749" s="244"/>
      <c r="H749" s="244"/>
      <c r="I749" s="244"/>
      <c r="J749" s="244"/>
      <c r="K749" s="244"/>
      <c r="L749" s="244"/>
      <c r="M749" s="244"/>
      <c r="N749" s="244"/>
      <c r="O749" s="244"/>
      <c r="P749" s="244"/>
      <c r="Q749" s="244"/>
    </row>
    <row r="750" spans="1:17" x14ac:dyDescent="0.35">
      <c r="A750" s="283"/>
      <c r="B750" s="284"/>
      <c r="C750" s="244"/>
      <c r="D750" s="244"/>
      <c r="E750" s="244"/>
      <c r="F750" s="244"/>
      <c r="G750" s="244"/>
      <c r="H750" s="244"/>
      <c r="I750" s="244"/>
      <c r="J750" s="244"/>
      <c r="K750" s="244"/>
      <c r="L750" s="244"/>
      <c r="M750" s="244"/>
      <c r="N750" s="244"/>
      <c r="O750" s="244"/>
      <c r="P750" s="244"/>
      <c r="Q750" s="244"/>
    </row>
    <row r="751" spans="1:17" x14ac:dyDescent="0.35">
      <c r="A751" s="283"/>
      <c r="B751" s="284"/>
      <c r="C751" s="244"/>
      <c r="D751" s="244"/>
      <c r="E751" s="244"/>
      <c r="F751" s="244"/>
      <c r="G751" s="244"/>
      <c r="H751" s="244"/>
      <c r="I751" s="244"/>
      <c r="J751" s="244"/>
      <c r="K751" s="244"/>
      <c r="L751" s="244"/>
      <c r="M751" s="244"/>
      <c r="N751" s="244"/>
      <c r="O751" s="244"/>
      <c r="P751" s="244"/>
      <c r="Q751" s="244"/>
    </row>
    <row r="752" spans="1:17" x14ac:dyDescent="0.35">
      <c r="A752" s="283"/>
      <c r="B752" s="284"/>
      <c r="C752" s="244"/>
      <c r="D752" s="244"/>
      <c r="E752" s="244"/>
      <c r="F752" s="244"/>
      <c r="G752" s="244"/>
      <c r="H752" s="244"/>
      <c r="I752" s="244"/>
      <c r="J752" s="244"/>
      <c r="K752" s="244"/>
      <c r="L752" s="244"/>
      <c r="M752" s="244"/>
      <c r="N752" s="244"/>
      <c r="O752" s="244"/>
      <c r="P752" s="244"/>
      <c r="Q752" s="244"/>
    </row>
    <row r="753" spans="1:17" x14ac:dyDescent="0.35">
      <c r="A753" s="283"/>
      <c r="B753" s="284"/>
      <c r="C753" s="244"/>
      <c r="D753" s="244"/>
      <c r="E753" s="244"/>
      <c r="F753" s="244"/>
      <c r="G753" s="244"/>
      <c r="H753" s="244"/>
      <c r="I753" s="244"/>
      <c r="J753" s="244"/>
      <c r="K753" s="244"/>
      <c r="L753" s="244"/>
      <c r="M753" s="244"/>
      <c r="N753" s="244"/>
      <c r="O753" s="244"/>
      <c r="P753" s="244"/>
      <c r="Q753" s="244"/>
    </row>
    <row r="754" spans="1:17" x14ac:dyDescent="0.35">
      <c r="A754" s="283"/>
      <c r="B754" s="284"/>
      <c r="C754" s="244"/>
      <c r="D754" s="244"/>
      <c r="E754" s="244"/>
      <c r="F754" s="244"/>
      <c r="G754" s="244"/>
      <c r="H754" s="244"/>
      <c r="I754" s="244"/>
      <c r="J754" s="244"/>
      <c r="K754" s="244"/>
      <c r="L754" s="244"/>
      <c r="M754" s="244"/>
      <c r="N754" s="244"/>
      <c r="O754" s="244"/>
      <c r="P754" s="244"/>
      <c r="Q754" s="244"/>
    </row>
    <row r="755" spans="1:17" x14ac:dyDescent="0.35">
      <c r="A755" s="283"/>
      <c r="B755" s="284"/>
      <c r="C755" s="244"/>
      <c r="D755" s="244"/>
      <c r="E755" s="244"/>
      <c r="F755" s="244"/>
      <c r="G755" s="244"/>
      <c r="H755" s="244"/>
      <c r="I755" s="244"/>
      <c r="J755" s="244"/>
      <c r="K755" s="244"/>
      <c r="L755" s="244"/>
      <c r="M755" s="244"/>
      <c r="N755" s="244"/>
      <c r="O755" s="244"/>
      <c r="P755" s="244"/>
      <c r="Q755" s="244"/>
    </row>
    <row r="756" spans="1:17" x14ac:dyDescent="0.35">
      <c r="A756" s="283"/>
      <c r="B756" s="284"/>
      <c r="C756" s="244"/>
      <c r="D756" s="244"/>
      <c r="E756" s="244"/>
      <c r="F756" s="244"/>
      <c r="G756" s="244"/>
      <c r="H756" s="244"/>
      <c r="I756" s="244"/>
      <c r="J756" s="244"/>
      <c r="K756" s="244"/>
      <c r="L756" s="244"/>
      <c r="M756" s="244"/>
      <c r="N756" s="244"/>
      <c r="O756" s="244"/>
      <c r="P756" s="244"/>
      <c r="Q756" s="244"/>
    </row>
    <row r="757" spans="1:17" x14ac:dyDescent="0.35">
      <c r="A757" s="283"/>
      <c r="B757" s="284"/>
      <c r="C757" s="244"/>
      <c r="D757" s="244"/>
      <c r="E757" s="244"/>
      <c r="F757" s="244"/>
      <c r="G757" s="244"/>
      <c r="H757" s="244"/>
      <c r="I757" s="244"/>
      <c r="J757" s="244"/>
      <c r="K757" s="244"/>
      <c r="L757" s="244"/>
      <c r="M757" s="244"/>
      <c r="N757" s="244"/>
      <c r="O757" s="244"/>
      <c r="P757" s="244"/>
      <c r="Q757" s="244"/>
    </row>
    <row r="758" spans="1:17" x14ac:dyDescent="0.35">
      <c r="A758" s="283"/>
      <c r="B758" s="284"/>
      <c r="C758" s="244"/>
      <c r="D758" s="244"/>
      <c r="E758" s="244"/>
      <c r="F758" s="244"/>
      <c r="G758" s="244"/>
      <c r="H758" s="244"/>
      <c r="I758" s="244"/>
      <c r="J758" s="244"/>
      <c r="K758" s="244"/>
      <c r="L758" s="244"/>
      <c r="M758" s="244"/>
      <c r="N758" s="244"/>
      <c r="O758" s="244"/>
      <c r="P758" s="244"/>
      <c r="Q758" s="244"/>
    </row>
    <row r="759" spans="1:17" x14ac:dyDescent="0.35">
      <c r="A759" s="283"/>
      <c r="B759" s="284"/>
      <c r="C759" s="244"/>
      <c r="D759" s="244"/>
      <c r="E759" s="244"/>
      <c r="F759" s="244"/>
      <c r="G759" s="244"/>
      <c r="H759" s="244"/>
      <c r="I759" s="244"/>
      <c r="J759" s="244"/>
      <c r="K759" s="244"/>
      <c r="L759" s="244"/>
      <c r="M759" s="244"/>
      <c r="N759" s="244"/>
      <c r="O759" s="244"/>
      <c r="P759" s="244"/>
      <c r="Q759" s="244"/>
    </row>
    <row r="760" spans="1:17" x14ac:dyDescent="0.35">
      <c r="A760" s="283"/>
      <c r="B760" s="284"/>
      <c r="C760" s="244"/>
      <c r="D760" s="244"/>
      <c r="E760" s="244"/>
      <c r="F760" s="244"/>
      <c r="G760" s="244"/>
      <c r="H760" s="244"/>
      <c r="I760" s="244"/>
      <c r="J760" s="244"/>
      <c r="K760" s="244"/>
      <c r="L760" s="244"/>
      <c r="M760" s="244"/>
      <c r="N760" s="244"/>
      <c r="O760" s="244"/>
      <c r="P760" s="244"/>
      <c r="Q760" s="244"/>
    </row>
    <row r="761" spans="1:17" x14ac:dyDescent="0.35">
      <c r="A761" s="283"/>
      <c r="B761" s="284"/>
      <c r="C761" s="244"/>
      <c r="D761" s="244"/>
      <c r="E761" s="244"/>
      <c r="F761" s="244"/>
      <c r="G761" s="244"/>
      <c r="H761" s="244"/>
      <c r="I761" s="244"/>
      <c r="J761" s="244"/>
      <c r="K761" s="244"/>
      <c r="L761" s="244"/>
      <c r="M761" s="244"/>
      <c r="N761" s="244"/>
      <c r="O761" s="244"/>
      <c r="P761" s="244"/>
      <c r="Q761" s="244"/>
    </row>
    <row r="762" spans="1:17" x14ac:dyDescent="0.35">
      <c r="A762" s="283"/>
      <c r="B762" s="284"/>
      <c r="C762" s="244"/>
      <c r="D762" s="244"/>
      <c r="E762" s="244"/>
      <c r="F762" s="244"/>
      <c r="G762" s="244"/>
      <c r="H762" s="244"/>
      <c r="I762" s="244"/>
      <c r="J762" s="244"/>
      <c r="K762" s="244"/>
      <c r="L762" s="244"/>
      <c r="M762" s="244"/>
      <c r="N762" s="244"/>
      <c r="O762" s="244"/>
      <c r="P762" s="244"/>
      <c r="Q762" s="244"/>
    </row>
    <row r="763" spans="1:17" x14ac:dyDescent="0.35">
      <c r="A763" s="283"/>
      <c r="B763" s="284"/>
      <c r="C763" s="244"/>
      <c r="D763" s="244"/>
      <c r="E763" s="244"/>
      <c r="F763" s="244"/>
      <c r="G763" s="244"/>
      <c r="H763" s="244"/>
      <c r="I763" s="244"/>
      <c r="J763" s="244"/>
      <c r="K763" s="244"/>
      <c r="L763" s="244"/>
      <c r="M763" s="244"/>
      <c r="N763" s="244"/>
      <c r="O763" s="244"/>
      <c r="P763" s="244"/>
      <c r="Q763" s="244"/>
    </row>
    <row r="764" spans="1:17" x14ac:dyDescent="0.35">
      <c r="A764" s="283"/>
      <c r="B764" s="284"/>
      <c r="C764" s="244"/>
      <c r="D764" s="244"/>
      <c r="E764" s="244"/>
      <c r="F764" s="244"/>
      <c r="G764" s="244"/>
      <c r="H764" s="244"/>
      <c r="I764" s="244"/>
      <c r="J764" s="244"/>
      <c r="K764" s="244"/>
      <c r="L764" s="244"/>
      <c r="M764" s="244"/>
      <c r="N764" s="244"/>
      <c r="O764" s="244"/>
      <c r="P764" s="244"/>
      <c r="Q764" s="244"/>
    </row>
    <row r="765" spans="1:17" x14ac:dyDescent="0.35">
      <c r="A765" s="283"/>
      <c r="B765" s="284"/>
      <c r="C765" s="244"/>
      <c r="D765" s="244"/>
      <c r="E765" s="244"/>
      <c r="F765" s="244"/>
      <c r="G765" s="244"/>
      <c r="H765" s="244"/>
      <c r="I765" s="244"/>
      <c r="J765" s="244"/>
      <c r="K765" s="244"/>
      <c r="L765" s="244"/>
      <c r="M765" s="244"/>
      <c r="N765" s="244"/>
      <c r="O765" s="244"/>
      <c r="P765" s="244"/>
      <c r="Q765" s="244"/>
    </row>
    <row r="766" spans="1:17" x14ac:dyDescent="0.35">
      <c r="A766" s="283"/>
      <c r="B766" s="284"/>
      <c r="C766" s="244"/>
      <c r="D766" s="244"/>
      <c r="E766" s="244"/>
      <c r="F766" s="244"/>
      <c r="G766" s="244"/>
      <c r="H766" s="244"/>
      <c r="I766" s="244"/>
      <c r="J766" s="244"/>
      <c r="K766" s="244"/>
      <c r="L766" s="244"/>
      <c r="M766" s="244"/>
      <c r="N766" s="244"/>
      <c r="O766" s="244"/>
      <c r="P766" s="244"/>
      <c r="Q766" s="244"/>
    </row>
    <row r="767" spans="1:17" x14ac:dyDescent="0.35">
      <c r="A767" s="283"/>
      <c r="B767" s="284"/>
      <c r="C767" s="244"/>
      <c r="D767" s="244"/>
      <c r="E767" s="244"/>
      <c r="F767" s="244"/>
      <c r="G767" s="244"/>
      <c r="H767" s="244"/>
      <c r="I767" s="244"/>
      <c r="J767" s="244"/>
      <c r="K767" s="244"/>
      <c r="L767" s="244"/>
      <c r="M767" s="244"/>
      <c r="N767" s="244"/>
      <c r="O767" s="244"/>
      <c r="P767" s="244"/>
      <c r="Q767" s="244"/>
    </row>
    <row r="768" spans="1:17" x14ac:dyDescent="0.35">
      <c r="A768" s="283"/>
      <c r="B768" s="284"/>
      <c r="C768" s="244"/>
      <c r="D768" s="244"/>
      <c r="E768" s="244"/>
      <c r="F768" s="244"/>
      <c r="G768" s="244"/>
      <c r="H768" s="244"/>
      <c r="I768" s="244"/>
      <c r="J768" s="244"/>
      <c r="K768" s="244"/>
      <c r="L768" s="244"/>
      <c r="M768" s="244"/>
      <c r="N768" s="244"/>
      <c r="O768" s="244"/>
      <c r="P768" s="244"/>
      <c r="Q768" s="244"/>
    </row>
    <row r="769" spans="1:17" x14ac:dyDescent="0.35">
      <c r="A769" s="283"/>
      <c r="B769" s="284"/>
      <c r="C769" s="244"/>
      <c r="D769" s="244"/>
      <c r="E769" s="244"/>
      <c r="F769" s="244"/>
      <c r="G769" s="244"/>
      <c r="H769" s="244"/>
      <c r="I769" s="244"/>
      <c r="J769" s="244"/>
      <c r="K769" s="244"/>
      <c r="L769" s="244"/>
      <c r="M769" s="244"/>
      <c r="N769" s="244"/>
      <c r="O769" s="244"/>
      <c r="P769" s="244"/>
      <c r="Q769" s="244"/>
    </row>
    <row r="770" spans="1:17" x14ac:dyDescent="0.35">
      <c r="A770" s="283"/>
      <c r="B770" s="284"/>
      <c r="C770" s="244"/>
      <c r="D770" s="244"/>
      <c r="E770" s="244"/>
      <c r="F770" s="244"/>
      <c r="G770" s="244"/>
      <c r="H770" s="244"/>
      <c r="I770" s="244"/>
      <c r="J770" s="244"/>
      <c r="K770" s="244"/>
      <c r="L770" s="244"/>
      <c r="M770" s="244"/>
      <c r="N770" s="244"/>
      <c r="O770" s="244"/>
      <c r="P770" s="244"/>
      <c r="Q770" s="244"/>
    </row>
    <row r="771" spans="1:17" x14ac:dyDescent="0.35">
      <c r="A771" s="283"/>
      <c r="B771" s="284"/>
      <c r="C771" s="244"/>
      <c r="D771" s="244"/>
      <c r="E771" s="244"/>
      <c r="F771" s="244"/>
      <c r="G771" s="244"/>
      <c r="H771" s="244"/>
      <c r="I771" s="244"/>
      <c r="J771" s="244"/>
      <c r="K771" s="244"/>
      <c r="L771" s="244"/>
      <c r="M771" s="244"/>
      <c r="N771" s="244"/>
      <c r="O771" s="244"/>
      <c r="P771" s="244"/>
      <c r="Q771" s="244"/>
    </row>
    <row r="772" spans="1:17" x14ac:dyDescent="0.35">
      <c r="A772" s="283"/>
      <c r="B772" s="284"/>
      <c r="C772" s="244"/>
      <c r="D772" s="244"/>
      <c r="E772" s="244"/>
      <c r="F772" s="244"/>
      <c r="G772" s="244"/>
      <c r="H772" s="244"/>
      <c r="I772" s="244"/>
      <c r="J772" s="244"/>
      <c r="K772" s="244"/>
      <c r="L772" s="244"/>
      <c r="M772" s="244"/>
      <c r="N772" s="244"/>
      <c r="O772" s="244"/>
      <c r="P772" s="244"/>
      <c r="Q772" s="244"/>
    </row>
    <row r="773" spans="1:17" x14ac:dyDescent="0.35">
      <c r="A773" s="283"/>
      <c r="B773" s="284"/>
      <c r="C773" s="244"/>
      <c r="D773" s="244"/>
      <c r="E773" s="244"/>
      <c r="F773" s="244"/>
      <c r="G773" s="244"/>
      <c r="H773" s="244"/>
      <c r="I773" s="244"/>
      <c r="J773" s="244"/>
      <c r="K773" s="244"/>
      <c r="L773" s="244"/>
      <c r="M773" s="244"/>
      <c r="N773" s="244"/>
      <c r="O773" s="244"/>
      <c r="P773" s="244"/>
      <c r="Q773" s="244"/>
    </row>
    <row r="774" spans="1:17" x14ac:dyDescent="0.35">
      <c r="A774" s="283"/>
      <c r="B774" s="284"/>
      <c r="C774" s="244"/>
      <c r="D774" s="244"/>
      <c r="E774" s="244"/>
      <c r="F774" s="244"/>
      <c r="G774" s="244"/>
      <c r="H774" s="244"/>
      <c r="I774" s="244"/>
      <c r="J774" s="244"/>
      <c r="K774" s="244"/>
      <c r="L774" s="244"/>
      <c r="M774" s="244"/>
      <c r="N774" s="244"/>
      <c r="O774" s="244"/>
      <c r="P774" s="244"/>
      <c r="Q774" s="244"/>
    </row>
    <row r="775" spans="1:17" x14ac:dyDescent="0.35">
      <c r="A775" s="283"/>
      <c r="B775" s="284"/>
      <c r="C775" s="244"/>
      <c r="D775" s="244"/>
      <c r="E775" s="244"/>
      <c r="F775" s="244"/>
      <c r="G775" s="244"/>
      <c r="H775" s="244"/>
      <c r="I775" s="244"/>
      <c r="J775" s="244"/>
      <c r="K775" s="244"/>
      <c r="L775" s="244"/>
      <c r="M775" s="244"/>
      <c r="N775" s="244"/>
      <c r="O775" s="244"/>
      <c r="P775" s="244"/>
      <c r="Q775" s="244"/>
    </row>
    <row r="776" spans="1:17" x14ac:dyDescent="0.35">
      <c r="A776" s="283"/>
      <c r="B776" s="284"/>
      <c r="C776" s="244"/>
      <c r="D776" s="244"/>
      <c r="E776" s="244"/>
      <c r="F776" s="244"/>
      <c r="G776" s="244"/>
      <c r="H776" s="244"/>
      <c r="I776" s="244"/>
      <c r="J776" s="244"/>
      <c r="K776" s="244"/>
      <c r="L776" s="244"/>
      <c r="M776" s="244"/>
      <c r="N776" s="244"/>
      <c r="O776" s="244"/>
      <c r="P776" s="244"/>
      <c r="Q776" s="244"/>
    </row>
    <row r="777" spans="1:17" x14ac:dyDescent="0.35">
      <c r="A777" s="283"/>
      <c r="B777" s="284"/>
      <c r="C777" s="244"/>
      <c r="D777" s="244"/>
      <c r="E777" s="244"/>
      <c r="F777" s="244"/>
      <c r="G777" s="244"/>
      <c r="H777" s="244"/>
      <c r="I777" s="244"/>
      <c r="J777" s="244"/>
      <c r="K777" s="244"/>
      <c r="L777" s="244"/>
      <c r="M777" s="244"/>
      <c r="N777" s="244"/>
      <c r="O777" s="244"/>
      <c r="P777" s="244"/>
      <c r="Q777" s="244"/>
    </row>
    <row r="778" spans="1:17" x14ac:dyDescent="0.35">
      <c r="A778" s="283"/>
      <c r="B778" s="284"/>
      <c r="C778" s="244"/>
      <c r="D778" s="244"/>
      <c r="E778" s="244"/>
      <c r="F778" s="244"/>
      <c r="G778" s="244"/>
      <c r="H778" s="244"/>
      <c r="I778" s="244"/>
      <c r="J778" s="244"/>
      <c r="K778" s="244"/>
      <c r="L778" s="244"/>
      <c r="M778" s="244"/>
      <c r="N778" s="244"/>
      <c r="O778" s="244"/>
      <c r="P778" s="244"/>
      <c r="Q778" s="244"/>
    </row>
    <row r="779" spans="1:17" x14ac:dyDescent="0.35">
      <c r="A779" s="283"/>
      <c r="B779" s="284"/>
      <c r="C779" s="244"/>
      <c r="D779" s="244"/>
      <c r="E779" s="244"/>
      <c r="F779" s="244"/>
      <c r="G779" s="244"/>
      <c r="H779" s="244"/>
      <c r="I779" s="244"/>
      <c r="J779" s="244"/>
      <c r="K779" s="244"/>
      <c r="L779" s="244"/>
      <c r="M779" s="244"/>
      <c r="N779" s="244"/>
      <c r="O779" s="244"/>
      <c r="P779" s="244"/>
      <c r="Q779" s="244"/>
    </row>
    <row r="780" spans="1:17" x14ac:dyDescent="0.35">
      <c r="A780" s="283"/>
      <c r="B780" s="284"/>
      <c r="C780" s="244"/>
      <c r="D780" s="244"/>
      <c r="E780" s="244"/>
      <c r="F780" s="244"/>
      <c r="G780" s="244"/>
      <c r="H780" s="244"/>
      <c r="I780" s="244"/>
      <c r="J780" s="244"/>
      <c r="K780" s="244"/>
      <c r="L780" s="244"/>
      <c r="M780" s="244"/>
      <c r="N780" s="244"/>
      <c r="O780" s="244"/>
      <c r="P780" s="244"/>
      <c r="Q780" s="244"/>
    </row>
    <row r="781" spans="1:17" x14ac:dyDescent="0.35">
      <c r="A781" s="283"/>
      <c r="B781" s="284"/>
      <c r="C781" s="244"/>
      <c r="D781" s="244"/>
      <c r="E781" s="244"/>
      <c r="F781" s="244"/>
      <c r="G781" s="244"/>
      <c r="H781" s="244"/>
      <c r="I781" s="244"/>
      <c r="J781" s="244"/>
      <c r="K781" s="244"/>
      <c r="L781" s="244"/>
      <c r="M781" s="244"/>
      <c r="N781" s="244"/>
      <c r="O781" s="244"/>
      <c r="P781" s="244"/>
      <c r="Q781" s="244"/>
    </row>
    <row r="782" spans="1:17" x14ac:dyDescent="0.35">
      <c r="A782" s="283"/>
      <c r="B782" s="284"/>
      <c r="C782" s="244"/>
      <c r="D782" s="244"/>
      <c r="E782" s="244"/>
      <c r="F782" s="244"/>
      <c r="G782" s="244"/>
      <c r="H782" s="244"/>
      <c r="I782" s="244"/>
      <c r="J782" s="244"/>
      <c r="K782" s="244"/>
      <c r="L782" s="244"/>
      <c r="M782" s="244"/>
      <c r="N782" s="244"/>
      <c r="O782" s="244"/>
      <c r="P782" s="244"/>
      <c r="Q782" s="244"/>
    </row>
    <row r="783" spans="1:17" x14ac:dyDescent="0.35">
      <c r="A783" s="283"/>
      <c r="B783" s="284"/>
      <c r="C783" s="244"/>
      <c r="D783" s="244"/>
      <c r="E783" s="244"/>
      <c r="F783" s="244"/>
      <c r="G783" s="244"/>
      <c r="H783" s="244"/>
      <c r="I783" s="244"/>
      <c r="J783" s="244"/>
      <c r="K783" s="244"/>
      <c r="L783" s="244"/>
      <c r="M783" s="244"/>
      <c r="N783" s="244"/>
      <c r="O783" s="244"/>
      <c r="P783" s="244"/>
      <c r="Q783" s="244"/>
    </row>
    <row r="784" spans="1:17" x14ac:dyDescent="0.35">
      <c r="A784" s="283"/>
      <c r="B784" s="284"/>
      <c r="C784" s="244"/>
      <c r="D784" s="244"/>
      <c r="E784" s="244"/>
      <c r="F784" s="244"/>
      <c r="G784" s="244"/>
      <c r="H784" s="244"/>
      <c r="I784" s="244"/>
      <c r="J784" s="244"/>
      <c r="K784" s="244"/>
      <c r="L784" s="244"/>
      <c r="M784" s="244"/>
      <c r="N784" s="244"/>
      <c r="O784" s="244"/>
      <c r="P784" s="244"/>
      <c r="Q784" s="244"/>
    </row>
    <row r="785" spans="1:17" x14ac:dyDescent="0.35">
      <c r="A785" s="283"/>
      <c r="B785" s="284"/>
      <c r="C785" s="244"/>
      <c r="D785" s="244"/>
      <c r="E785" s="244"/>
      <c r="F785" s="244"/>
      <c r="G785" s="244"/>
      <c r="H785" s="244"/>
      <c r="I785" s="244"/>
      <c r="J785" s="244"/>
      <c r="K785" s="244"/>
      <c r="L785" s="244"/>
      <c r="M785" s="244"/>
      <c r="N785" s="244"/>
      <c r="O785" s="244"/>
      <c r="P785" s="244"/>
      <c r="Q785" s="244"/>
    </row>
    <row r="786" spans="1:17" x14ac:dyDescent="0.35">
      <c r="A786" s="283"/>
      <c r="B786" s="284"/>
      <c r="C786" s="244"/>
      <c r="D786" s="244"/>
      <c r="E786" s="244"/>
      <c r="F786" s="244"/>
      <c r="G786" s="244"/>
      <c r="H786" s="244"/>
      <c r="I786" s="244"/>
      <c r="J786" s="244"/>
      <c r="K786" s="244"/>
      <c r="L786" s="244"/>
      <c r="M786" s="244"/>
      <c r="N786" s="244"/>
      <c r="O786" s="244"/>
      <c r="P786" s="244"/>
      <c r="Q786" s="244"/>
    </row>
    <row r="787" spans="1:17" x14ac:dyDescent="0.35">
      <c r="A787" s="283"/>
      <c r="B787" s="284"/>
      <c r="C787" s="244"/>
      <c r="D787" s="244"/>
      <c r="E787" s="244"/>
      <c r="F787" s="244"/>
      <c r="G787" s="244"/>
      <c r="H787" s="244"/>
      <c r="I787" s="244"/>
      <c r="J787" s="244"/>
      <c r="K787" s="244"/>
      <c r="L787" s="244"/>
      <c r="M787" s="244"/>
      <c r="N787" s="244"/>
      <c r="O787" s="244"/>
      <c r="P787" s="244"/>
      <c r="Q787" s="244"/>
    </row>
    <row r="788" spans="1:17" x14ac:dyDescent="0.35">
      <c r="A788" s="283"/>
      <c r="B788" s="284"/>
      <c r="C788" s="244"/>
      <c r="D788" s="244"/>
      <c r="E788" s="244"/>
      <c r="F788" s="244"/>
      <c r="G788" s="244"/>
      <c r="H788" s="244"/>
      <c r="I788" s="244"/>
      <c r="J788" s="244"/>
      <c r="K788" s="244"/>
      <c r="L788" s="244"/>
      <c r="M788" s="244"/>
      <c r="N788" s="244"/>
      <c r="O788" s="244"/>
      <c r="P788" s="244"/>
      <c r="Q788" s="244"/>
    </row>
    <row r="789" spans="1:17" x14ac:dyDescent="0.35">
      <c r="A789" s="283"/>
      <c r="B789" s="284"/>
      <c r="C789" s="244"/>
      <c r="D789" s="244"/>
      <c r="E789" s="244"/>
      <c r="F789" s="244"/>
      <c r="G789" s="244"/>
      <c r="H789" s="244"/>
      <c r="I789" s="244"/>
      <c r="J789" s="244"/>
      <c r="K789" s="244"/>
      <c r="L789" s="244"/>
      <c r="M789" s="244"/>
      <c r="N789" s="244"/>
      <c r="O789" s="244"/>
      <c r="P789" s="244"/>
      <c r="Q789" s="244"/>
    </row>
    <row r="790" spans="1:17" x14ac:dyDescent="0.35">
      <c r="A790" s="283"/>
      <c r="B790" s="284"/>
      <c r="C790" s="244"/>
      <c r="D790" s="244"/>
      <c r="E790" s="244"/>
      <c r="F790" s="244"/>
      <c r="G790" s="244"/>
      <c r="H790" s="244"/>
      <c r="I790" s="244"/>
      <c r="J790" s="244"/>
      <c r="K790" s="244"/>
      <c r="L790" s="244"/>
      <c r="M790" s="244"/>
      <c r="N790" s="244"/>
      <c r="O790" s="244"/>
      <c r="P790" s="244"/>
      <c r="Q790" s="244"/>
    </row>
    <row r="791" spans="1:17" x14ac:dyDescent="0.35">
      <c r="A791" s="283"/>
      <c r="B791" s="284"/>
      <c r="C791" s="244"/>
      <c r="D791" s="244"/>
      <c r="E791" s="244"/>
      <c r="F791" s="244"/>
      <c r="G791" s="244"/>
      <c r="H791" s="244"/>
      <c r="I791" s="244"/>
      <c r="J791" s="244"/>
      <c r="K791" s="244"/>
      <c r="L791" s="244"/>
      <c r="M791" s="244"/>
      <c r="N791" s="244"/>
      <c r="O791" s="244"/>
      <c r="P791" s="244"/>
      <c r="Q791" s="244"/>
    </row>
    <row r="792" spans="1:17" x14ac:dyDescent="0.35">
      <c r="A792" s="283"/>
      <c r="B792" s="284"/>
      <c r="C792" s="244"/>
      <c r="D792" s="244"/>
      <c r="E792" s="244"/>
      <c r="F792" s="244"/>
      <c r="G792" s="244"/>
      <c r="H792" s="244"/>
      <c r="I792" s="244"/>
      <c r="J792" s="244"/>
      <c r="K792" s="244"/>
      <c r="L792" s="244"/>
      <c r="M792" s="244"/>
      <c r="N792" s="244"/>
      <c r="O792" s="244"/>
      <c r="P792" s="244"/>
      <c r="Q792" s="244"/>
    </row>
    <row r="793" spans="1:17" x14ac:dyDescent="0.35">
      <c r="A793" s="283"/>
      <c r="B793" s="284"/>
      <c r="C793" s="244"/>
      <c r="D793" s="244"/>
      <c r="E793" s="244"/>
      <c r="F793" s="244"/>
      <c r="G793" s="244"/>
      <c r="H793" s="244"/>
      <c r="I793" s="244"/>
      <c r="J793" s="244"/>
      <c r="K793" s="244"/>
      <c r="L793" s="244"/>
      <c r="M793" s="244"/>
      <c r="N793" s="244"/>
      <c r="O793" s="244"/>
      <c r="P793" s="244"/>
      <c r="Q793" s="244"/>
    </row>
    <row r="794" spans="1:17" x14ac:dyDescent="0.35">
      <c r="A794" s="283"/>
      <c r="B794" s="284"/>
      <c r="C794" s="244"/>
      <c r="D794" s="244"/>
      <c r="E794" s="244"/>
      <c r="F794" s="244"/>
      <c r="G794" s="244"/>
      <c r="H794" s="244"/>
      <c r="I794" s="244"/>
      <c r="J794" s="244"/>
      <c r="K794" s="244"/>
      <c r="L794" s="244"/>
      <c r="M794" s="244"/>
      <c r="N794" s="244"/>
      <c r="O794" s="244"/>
      <c r="P794" s="244"/>
      <c r="Q794" s="244"/>
    </row>
    <row r="795" spans="1:17" x14ac:dyDescent="0.35">
      <c r="A795" s="283"/>
      <c r="B795" s="284"/>
      <c r="C795" s="244"/>
      <c r="D795" s="244"/>
      <c r="E795" s="244"/>
      <c r="F795" s="244"/>
      <c r="G795" s="244"/>
      <c r="H795" s="244"/>
      <c r="I795" s="244"/>
      <c r="J795" s="244"/>
      <c r="K795" s="244"/>
      <c r="L795" s="244"/>
      <c r="M795" s="244"/>
      <c r="N795" s="244"/>
      <c r="O795" s="244"/>
      <c r="P795" s="244"/>
      <c r="Q795" s="244"/>
    </row>
    <row r="796" spans="1:17" x14ac:dyDescent="0.35">
      <c r="A796" s="283"/>
      <c r="B796" s="284"/>
      <c r="C796" s="244"/>
      <c r="D796" s="244"/>
      <c r="E796" s="244"/>
      <c r="F796" s="244"/>
      <c r="G796" s="244"/>
      <c r="H796" s="244"/>
      <c r="I796" s="244"/>
      <c r="J796" s="244"/>
      <c r="K796" s="244"/>
      <c r="L796" s="244"/>
      <c r="M796" s="244"/>
      <c r="N796" s="244"/>
      <c r="O796" s="244"/>
      <c r="P796" s="244"/>
      <c r="Q796" s="244"/>
    </row>
    <row r="797" spans="1:17" x14ac:dyDescent="0.35">
      <c r="A797" s="283"/>
      <c r="B797" s="284"/>
      <c r="C797" s="244"/>
      <c r="D797" s="244"/>
      <c r="E797" s="244"/>
      <c r="F797" s="244"/>
      <c r="G797" s="244"/>
      <c r="H797" s="244"/>
      <c r="I797" s="244"/>
      <c r="J797" s="244"/>
      <c r="K797" s="244"/>
      <c r="L797" s="244"/>
      <c r="M797" s="244"/>
      <c r="N797" s="244"/>
      <c r="O797" s="244"/>
      <c r="P797" s="244"/>
      <c r="Q797" s="244"/>
    </row>
    <row r="798" spans="1:17" x14ac:dyDescent="0.35">
      <c r="A798" s="283"/>
      <c r="B798" s="284"/>
      <c r="C798" s="244"/>
      <c r="D798" s="244"/>
      <c r="E798" s="244"/>
      <c r="F798" s="244"/>
      <c r="G798" s="244"/>
      <c r="H798" s="244"/>
      <c r="I798" s="244"/>
      <c r="J798" s="244"/>
      <c r="K798" s="244"/>
      <c r="L798" s="244"/>
      <c r="M798" s="244"/>
      <c r="N798" s="244"/>
      <c r="O798" s="244"/>
      <c r="P798" s="244"/>
      <c r="Q798" s="244"/>
    </row>
    <row r="799" spans="1:17" x14ac:dyDescent="0.35">
      <c r="A799" s="283"/>
      <c r="B799" s="284"/>
      <c r="C799" s="244"/>
      <c r="D799" s="244"/>
      <c r="E799" s="244"/>
      <c r="F799" s="244"/>
      <c r="G799" s="244"/>
      <c r="H799" s="244"/>
      <c r="I799" s="244"/>
      <c r="J799" s="244"/>
      <c r="K799" s="244"/>
      <c r="L799" s="244"/>
      <c r="M799" s="244"/>
      <c r="N799" s="244"/>
      <c r="O799" s="244"/>
      <c r="P799" s="244"/>
      <c r="Q799" s="244"/>
    </row>
    <row r="800" spans="1:17" x14ac:dyDescent="0.35">
      <c r="A800" s="283"/>
      <c r="B800" s="284"/>
      <c r="C800" s="244"/>
      <c r="D800" s="244"/>
      <c r="E800" s="244"/>
      <c r="F800" s="244"/>
      <c r="G800" s="244"/>
      <c r="H800" s="244"/>
      <c r="I800" s="244"/>
      <c r="J800" s="244"/>
      <c r="K800" s="244"/>
      <c r="L800" s="244"/>
      <c r="M800" s="244"/>
      <c r="N800" s="244"/>
      <c r="O800" s="244"/>
      <c r="P800" s="244"/>
      <c r="Q800" s="244"/>
    </row>
    <row r="801" spans="1:17" x14ac:dyDescent="0.35">
      <c r="A801" s="283"/>
      <c r="B801" s="284"/>
      <c r="C801" s="244"/>
      <c r="D801" s="244"/>
      <c r="E801" s="244"/>
      <c r="F801" s="244"/>
      <c r="G801" s="244"/>
      <c r="H801" s="244"/>
      <c r="I801" s="244"/>
      <c r="J801" s="244"/>
      <c r="K801" s="244"/>
      <c r="L801" s="244"/>
      <c r="M801" s="244"/>
      <c r="N801" s="244"/>
      <c r="O801" s="244"/>
      <c r="P801" s="244"/>
      <c r="Q801" s="244"/>
    </row>
    <row r="802" spans="1:17" x14ac:dyDescent="0.35">
      <c r="A802" s="283"/>
      <c r="B802" s="284"/>
      <c r="C802" s="244"/>
      <c r="D802" s="244"/>
      <c r="E802" s="244"/>
      <c r="F802" s="244"/>
      <c r="G802" s="244"/>
      <c r="H802" s="244"/>
      <c r="I802" s="244"/>
      <c r="J802" s="244"/>
      <c r="K802" s="244"/>
      <c r="L802" s="244"/>
      <c r="M802" s="244"/>
      <c r="N802" s="244"/>
      <c r="O802" s="244"/>
      <c r="P802" s="244"/>
      <c r="Q802" s="244"/>
    </row>
    <row r="803" spans="1:17" x14ac:dyDescent="0.35">
      <c r="A803" s="283"/>
      <c r="B803" s="284"/>
      <c r="C803" s="244"/>
      <c r="D803" s="244"/>
      <c r="E803" s="244"/>
      <c r="F803" s="244"/>
      <c r="G803" s="244"/>
      <c r="H803" s="244"/>
      <c r="I803" s="244"/>
      <c r="J803" s="244"/>
      <c r="K803" s="244"/>
      <c r="L803" s="244"/>
      <c r="M803" s="244"/>
      <c r="N803" s="244"/>
      <c r="O803" s="244"/>
      <c r="P803" s="244"/>
      <c r="Q803" s="244"/>
    </row>
    <row r="804" spans="1:17" x14ac:dyDescent="0.35">
      <c r="A804" s="283"/>
      <c r="B804" s="284"/>
      <c r="C804" s="244"/>
      <c r="D804" s="244"/>
      <c r="E804" s="244"/>
      <c r="F804" s="244"/>
      <c r="G804" s="244"/>
      <c r="H804" s="244"/>
      <c r="I804" s="244"/>
      <c r="J804" s="244"/>
      <c r="K804" s="244"/>
      <c r="L804" s="244"/>
      <c r="M804" s="244"/>
      <c r="N804" s="244"/>
      <c r="O804" s="244"/>
      <c r="P804" s="244"/>
      <c r="Q804" s="244"/>
    </row>
    <row r="805" spans="1:17" x14ac:dyDescent="0.35">
      <c r="A805" s="283"/>
      <c r="B805" s="284"/>
      <c r="C805" s="244"/>
      <c r="D805" s="244"/>
      <c r="E805" s="244"/>
      <c r="F805" s="244"/>
      <c r="G805" s="244"/>
      <c r="H805" s="244"/>
      <c r="I805" s="244"/>
      <c r="J805" s="244"/>
      <c r="K805" s="244"/>
      <c r="L805" s="244"/>
      <c r="M805" s="244"/>
      <c r="N805" s="244"/>
      <c r="O805" s="244"/>
      <c r="P805" s="244"/>
      <c r="Q805" s="244"/>
    </row>
    <row r="806" spans="1:17" x14ac:dyDescent="0.35">
      <c r="A806" s="283"/>
      <c r="B806" s="284"/>
      <c r="C806" s="244"/>
      <c r="D806" s="244"/>
      <c r="E806" s="244"/>
      <c r="F806" s="244"/>
      <c r="G806" s="244"/>
      <c r="H806" s="244"/>
      <c r="I806" s="244"/>
      <c r="J806" s="244"/>
      <c r="K806" s="244"/>
      <c r="L806" s="244"/>
      <c r="M806" s="244"/>
      <c r="N806" s="244"/>
      <c r="O806" s="244"/>
      <c r="P806" s="244"/>
      <c r="Q806" s="244"/>
    </row>
    <row r="807" spans="1:17" x14ac:dyDescent="0.35">
      <c r="A807" s="283"/>
      <c r="B807" s="284"/>
      <c r="C807" s="244"/>
      <c r="D807" s="244"/>
      <c r="E807" s="244"/>
      <c r="F807" s="244"/>
      <c r="G807" s="244"/>
      <c r="H807" s="244"/>
      <c r="I807" s="244"/>
      <c r="J807" s="244"/>
      <c r="K807" s="244"/>
      <c r="L807" s="244"/>
      <c r="M807" s="244"/>
      <c r="N807" s="244"/>
      <c r="O807" s="244"/>
      <c r="P807" s="244"/>
      <c r="Q807" s="244"/>
    </row>
    <row r="808" spans="1:17" x14ac:dyDescent="0.35">
      <c r="A808" s="283"/>
      <c r="B808" s="284"/>
      <c r="C808" s="244"/>
      <c r="D808" s="244"/>
      <c r="E808" s="244"/>
      <c r="F808" s="244"/>
      <c r="G808" s="244"/>
      <c r="H808" s="244"/>
      <c r="I808" s="244"/>
      <c r="J808" s="244"/>
      <c r="K808" s="244"/>
      <c r="L808" s="244"/>
      <c r="M808" s="244"/>
      <c r="N808" s="244"/>
      <c r="O808" s="244"/>
      <c r="P808" s="244"/>
      <c r="Q808" s="244"/>
    </row>
    <row r="809" spans="1:17" x14ac:dyDescent="0.35">
      <c r="A809" s="283"/>
      <c r="B809" s="284"/>
      <c r="C809" s="244"/>
      <c r="D809" s="244"/>
      <c r="E809" s="244"/>
      <c r="F809" s="244"/>
      <c r="G809" s="244"/>
      <c r="H809" s="244"/>
      <c r="I809" s="244"/>
      <c r="J809" s="244"/>
      <c r="K809" s="244"/>
      <c r="L809" s="244"/>
      <c r="M809" s="244"/>
      <c r="N809" s="244"/>
      <c r="O809" s="244"/>
      <c r="P809" s="244"/>
      <c r="Q809" s="244"/>
    </row>
    <row r="810" spans="1:17" x14ac:dyDescent="0.35">
      <c r="A810" s="283"/>
      <c r="B810" s="284"/>
      <c r="C810" s="244"/>
      <c r="D810" s="244"/>
      <c r="E810" s="244"/>
      <c r="F810" s="244"/>
      <c r="G810" s="244"/>
      <c r="H810" s="244"/>
      <c r="I810" s="244"/>
      <c r="J810" s="244"/>
      <c r="K810" s="244"/>
      <c r="L810" s="244"/>
      <c r="M810" s="244"/>
      <c r="N810" s="244"/>
      <c r="O810" s="244"/>
      <c r="P810" s="244"/>
      <c r="Q810" s="244"/>
    </row>
    <row r="811" spans="1:17" x14ac:dyDescent="0.35">
      <c r="A811" s="283"/>
      <c r="B811" s="284"/>
      <c r="C811" s="244"/>
      <c r="D811" s="244"/>
      <c r="E811" s="244"/>
      <c r="F811" s="244"/>
      <c r="G811" s="244"/>
      <c r="H811" s="244"/>
      <c r="I811" s="244"/>
      <c r="J811" s="244"/>
      <c r="K811" s="244"/>
      <c r="L811" s="244"/>
      <c r="M811" s="244"/>
      <c r="N811" s="244"/>
      <c r="O811" s="244"/>
      <c r="P811" s="244"/>
      <c r="Q811" s="244"/>
    </row>
    <row r="812" spans="1:17" x14ac:dyDescent="0.35">
      <c r="A812" s="283"/>
      <c r="B812" s="284"/>
      <c r="C812" s="244"/>
      <c r="D812" s="244"/>
      <c r="E812" s="244"/>
      <c r="F812" s="244"/>
      <c r="G812" s="244"/>
      <c r="H812" s="244"/>
      <c r="I812" s="244"/>
      <c r="J812" s="244"/>
      <c r="K812" s="244"/>
      <c r="L812" s="244"/>
      <c r="M812" s="244"/>
      <c r="N812" s="244"/>
      <c r="O812" s="244"/>
      <c r="P812" s="244"/>
      <c r="Q812" s="244"/>
    </row>
    <row r="813" spans="1:17" x14ac:dyDescent="0.35">
      <c r="A813" s="283"/>
      <c r="B813" s="284"/>
      <c r="C813" s="244"/>
      <c r="D813" s="244"/>
      <c r="E813" s="244"/>
      <c r="F813" s="244"/>
      <c r="G813" s="244"/>
      <c r="H813" s="244"/>
      <c r="I813" s="244"/>
      <c r="J813" s="244"/>
      <c r="K813" s="244"/>
      <c r="L813" s="244"/>
      <c r="M813" s="244"/>
      <c r="N813" s="244"/>
      <c r="O813" s="244"/>
      <c r="P813" s="244"/>
      <c r="Q813" s="244"/>
    </row>
    <row r="814" spans="1:17" x14ac:dyDescent="0.35">
      <c r="A814" s="283"/>
      <c r="B814" s="284"/>
      <c r="C814" s="244"/>
      <c r="D814" s="244"/>
      <c r="E814" s="244"/>
      <c r="F814" s="244"/>
      <c r="G814" s="244"/>
      <c r="H814" s="244"/>
      <c r="I814" s="244"/>
      <c r="J814" s="244"/>
      <c r="K814" s="244"/>
      <c r="L814" s="244"/>
      <c r="M814" s="244"/>
      <c r="N814" s="244"/>
      <c r="O814" s="244"/>
      <c r="P814" s="244"/>
      <c r="Q814" s="244"/>
    </row>
    <row r="815" spans="1:17" x14ac:dyDescent="0.35">
      <c r="A815" s="283"/>
      <c r="B815" s="284"/>
      <c r="C815" s="244"/>
      <c r="D815" s="244"/>
      <c r="E815" s="244"/>
      <c r="F815" s="244"/>
      <c r="G815" s="244"/>
      <c r="H815" s="244"/>
      <c r="I815" s="244"/>
      <c r="J815" s="244"/>
      <c r="K815" s="244"/>
      <c r="L815" s="244"/>
      <c r="M815" s="244"/>
      <c r="N815" s="244"/>
      <c r="O815" s="244"/>
      <c r="P815" s="244"/>
      <c r="Q815" s="244"/>
    </row>
    <row r="816" spans="1:17" x14ac:dyDescent="0.35">
      <c r="A816" s="283"/>
      <c r="B816" s="284"/>
      <c r="C816" s="244"/>
      <c r="D816" s="244"/>
      <c r="E816" s="244"/>
      <c r="F816" s="244"/>
      <c r="G816" s="244"/>
      <c r="H816" s="244"/>
      <c r="I816" s="244"/>
      <c r="J816" s="244"/>
      <c r="K816" s="244"/>
      <c r="L816" s="244"/>
      <c r="M816" s="244"/>
      <c r="N816" s="244"/>
      <c r="O816" s="244"/>
      <c r="P816" s="244"/>
      <c r="Q816" s="244"/>
    </row>
    <row r="817" spans="1:17" x14ac:dyDescent="0.35">
      <c r="A817" s="283"/>
      <c r="B817" s="284"/>
      <c r="C817" s="244"/>
      <c r="D817" s="244"/>
      <c r="E817" s="244"/>
      <c r="F817" s="244"/>
      <c r="G817" s="244"/>
      <c r="H817" s="244"/>
      <c r="I817" s="244"/>
      <c r="J817" s="244"/>
      <c r="K817" s="244"/>
      <c r="L817" s="244"/>
      <c r="M817" s="244"/>
      <c r="N817" s="244"/>
      <c r="O817" s="244"/>
      <c r="P817" s="244"/>
      <c r="Q817" s="244"/>
    </row>
    <row r="818" spans="1:17" x14ac:dyDescent="0.35">
      <c r="A818" s="283"/>
      <c r="B818" s="284"/>
      <c r="C818" s="244"/>
      <c r="D818" s="244"/>
      <c r="E818" s="244"/>
      <c r="F818" s="244"/>
      <c r="G818" s="244"/>
      <c r="H818" s="244"/>
      <c r="I818" s="244"/>
      <c r="J818" s="244"/>
      <c r="K818" s="244"/>
      <c r="L818" s="244"/>
      <c r="M818" s="244"/>
      <c r="N818" s="244"/>
      <c r="O818" s="244"/>
      <c r="P818" s="244"/>
      <c r="Q818" s="244"/>
    </row>
    <row r="819" spans="1:17" x14ac:dyDescent="0.35">
      <c r="A819" s="283"/>
      <c r="B819" s="284"/>
      <c r="C819" s="244"/>
      <c r="D819" s="244"/>
      <c r="E819" s="244"/>
      <c r="F819" s="244"/>
      <c r="G819" s="244"/>
      <c r="H819" s="244"/>
      <c r="I819" s="244"/>
      <c r="J819" s="244"/>
      <c r="K819" s="244"/>
      <c r="L819" s="244"/>
      <c r="M819" s="244"/>
      <c r="N819" s="244"/>
      <c r="O819" s="244"/>
      <c r="P819" s="244"/>
      <c r="Q819" s="244"/>
    </row>
    <row r="820" spans="1:17" x14ac:dyDescent="0.35">
      <c r="A820" s="283"/>
      <c r="B820" s="284"/>
      <c r="C820" s="244"/>
      <c r="D820" s="244"/>
      <c r="E820" s="244"/>
      <c r="F820" s="244"/>
      <c r="G820" s="244"/>
      <c r="H820" s="244"/>
      <c r="I820" s="244"/>
      <c r="J820" s="244"/>
      <c r="K820" s="244"/>
      <c r="L820" s="244"/>
      <c r="M820" s="244"/>
      <c r="N820" s="244"/>
      <c r="O820" s="244"/>
      <c r="P820" s="244"/>
      <c r="Q820" s="244"/>
    </row>
    <row r="821" spans="1:17" x14ac:dyDescent="0.35">
      <c r="A821" s="283"/>
      <c r="B821" s="284"/>
      <c r="C821" s="244"/>
      <c r="D821" s="244"/>
      <c r="E821" s="244"/>
      <c r="F821" s="244"/>
      <c r="G821" s="244"/>
      <c r="H821" s="244"/>
      <c r="I821" s="244"/>
      <c r="J821" s="244"/>
      <c r="K821" s="244"/>
      <c r="L821" s="244"/>
      <c r="M821" s="244"/>
      <c r="N821" s="244"/>
      <c r="O821" s="244"/>
      <c r="P821" s="244"/>
      <c r="Q821" s="244"/>
    </row>
    <row r="822" spans="1:17" x14ac:dyDescent="0.35">
      <c r="A822" s="283"/>
      <c r="B822" s="284"/>
      <c r="C822" s="244"/>
      <c r="D822" s="244"/>
      <c r="E822" s="244"/>
      <c r="F822" s="244"/>
      <c r="G822" s="244"/>
      <c r="H822" s="244"/>
      <c r="I822" s="244"/>
      <c r="J822" s="244"/>
      <c r="K822" s="244"/>
      <c r="L822" s="244"/>
      <c r="M822" s="244"/>
      <c r="N822" s="244"/>
      <c r="O822" s="244"/>
      <c r="P822" s="244"/>
      <c r="Q822" s="244"/>
    </row>
    <row r="823" spans="1:17" x14ac:dyDescent="0.35">
      <c r="A823" s="283"/>
      <c r="B823" s="284"/>
      <c r="C823" s="244"/>
      <c r="D823" s="244"/>
      <c r="E823" s="244"/>
      <c r="F823" s="244"/>
      <c r="G823" s="244"/>
      <c r="H823" s="244"/>
      <c r="I823" s="244"/>
      <c r="J823" s="244"/>
      <c r="K823" s="244"/>
      <c r="L823" s="244"/>
      <c r="M823" s="244"/>
      <c r="N823" s="244"/>
      <c r="O823" s="244"/>
      <c r="P823" s="244"/>
      <c r="Q823" s="244"/>
    </row>
    <row r="824" spans="1:17" x14ac:dyDescent="0.35">
      <c r="A824" s="283"/>
      <c r="B824" s="284"/>
      <c r="C824" s="244"/>
      <c r="D824" s="244"/>
      <c r="E824" s="244"/>
      <c r="F824" s="244"/>
      <c r="G824" s="244"/>
      <c r="H824" s="244"/>
      <c r="I824" s="244"/>
      <c r="J824" s="244"/>
      <c r="K824" s="244"/>
      <c r="L824" s="244"/>
      <c r="M824" s="244"/>
      <c r="N824" s="244"/>
      <c r="O824" s="244"/>
      <c r="P824" s="244"/>
      <c r="Q824" s="244"/>
    </row>
    <row r="825" spans="1:17" x14ac:dyDescent="0.35">
      <c r="A825" s="283"/>
      <c r="B825" s="284"/>
      <c r="C825" s="244"/>
      <c r="D825" s="244"/>
      <c r="E825" s="244"/>
      <c r="F825" s="244"/>
      <c r="G825" s="244"/>
      <c r="H825" s="244"/>
      <c r="I825" s="244"/>
      <c r="J825" s="244"/>
      <c r="K825" s="244"/>
      <c r="L825" s="244"/>
      <c r="M825" s="244"/>
      <c r="N825" s="244"/>
      <c r="O825" s="244"/>
      <c r="P825" s="244"/>
      <c r="Q825" s="244"/>
    </row>
    <row r="826" spans="1:17" x14ac:dyDescent="0.35">
      <c r="A826" s="283"/>
      <c r="B826" s="284"/>
      <c r="C826" s="244"/>
      <c r="D826" s="244"/>
      <c r="E826" s="244"/>
      <c r="F826" s="244"/>
      <c r="G826" s="244"/>
      <c r="H826" s="244"/>
      <c r="I826" s="244"/>
      <c r="J826" s="244"/>
      <c r="K826" s="244"/>
      <c r="L826" s="244"/>
      <c r="M826" s="244"/>
      <c r="N826" s="244"/>
      <c r="O826" s="244"/>
      <c r="P826" s="244"/>
      <c r="Q826" s="244"/>
    </row>
    <row r="827" spans="1:17" x14ac:dyDescent="0.35">
      <c r="A827" s="283"/>
      <c r="B827" s="284"/>
      <c r="C827" s="244"/>
      <c r="D827" s="244"/>
      <c r="E827" s="244"/>
      <c r="F827" s="244"/>
      <c r="G827" s="244"/>
      <c r="H827" s="244"/>
      <c r="I827" s="244"/>
      <c r="J827" s="244"/>
      <c r="K827" s="244"/>
      <c r="L827" s="244"/>
      <c r="M827" s="244"/>
      <c r="N827" s="244"/>
      <c r="O827" s="244"/>
      <c r="P827" s="244"/>
      <c r="Q827" s="244"/>
    </row>
    <row r="828" spans="1:17" x14ac:dyDescent="0.35">
      <c r="A828" s="283"/>
      <c r="B828" s="284"/>
      <c r="C828" s="244"/>
      <c r="D828" s="244"/>
      <c r="E828" s="244"/>
      <c r="F828" s="244"/>
      <c r="G828" s="244"/>
      <c r="H828" s="244"/>
      <c r="I828" s="244"/>
      <c r="J828" s="244"/>
      <c r="K828" s="244"/>
      <c r="L828" s="244"/>
      <c r="M828" s="244"/>
      <c r="N828" s="244"/>
      <c r="O828" s="244"/>
      <c r="P828" s="244"/>
      <c r="Q828" s="244"/>
    </row>
    <row r="829" spans="1:17" x14ac:dyDescent="0.35">
      <c r="A829" s="283"/>
      <c r="B829" s="284"/>
      <c r="C829" s="244"/>
      <c r="D829" s="244"/>
      <c r="E829" s="244"/>
      <c r="F829" s="244"/>
      <c r="G829" s="244"/>
      <c r="H829" s="244"/>
      <c r="I829" s="244"/>
      <c r="J829" s="244"/>
      <c r="K829" s="244"/>
      <c r="L829" s="244"/>
      <c r="M829" s="244"/>
      <c r="N829" s="244"/>
      <c r="O829" s="244"/>
      <c r="P829" s="244"/>
      <c r="Q829" s="244"/>
    </row>
    <row r="830" spans="1:17" x14ac:dyDescent="0.35">
      <c r="A830" s="283"/>
      <c r="B830" s="284"/>
      <c r="C830" s="244"/>
      <c r="D830" s="244"/>
      <c r="E830" s="244"/>
      <c r="F830" s="244"/>
      <c r="G830" s="244"/>
      <c r="H830" s="244"/>
      <c r="I830" s="244"/>
      <c r="J830" s="244"/>
      <c r="K830" s="244"/>
      <c r="L830" s="244"/>
      <c r="M830" s="244"/>
      <c r="N830" s="244"/>
      <c r="O830" s="244"/>
      <c r="P830" s="244"/>
      <c r="Q830" s="244"/>
    </row>
    <row r="831" spans="1:17" x14ac:dyDescent="0.35">
      <c r="A831" s="283"/>
      <c r="B831" s="284"/>
      <c r="C831" s="244"/>
      <c r="D831" s="244"/>
      <c r="E831" s="244"/>
      <c r="F831" s="244"/>
      <c r="G831" s="244"/>
      <c r="H831" s="244"/>
      <c r="I831" s="244"/>
      <c r="J831" s="244"/>
      <c r="K831" s="244"/>
      <c r="L831" s="244"/>
      <c r="M831" s="244"/>
      <c r="N831" s="244"/>
      <c r="O831" s="244"/>
      <c r="P831" s="244"/>
      <c r="Q831" s="244"/>
    </row>
    <row r="832" spans="1:17" x14ac:dyDescent="0.35">
      <c r="A832" s="283"/>
      <c r="B832" s="284"/>
      <c r="C832" s="244"/>
      <c r="D832" s="244"/>
      <c r="E832" s="244"/>
      <c r="F832" s="244"/>
      <c r="G832" s="244"/>
      <c r="H832" s="244"/>
      <c r="I832" s="244"/>
      <c r="J832" s="244"/>
      <c r="K832" s="244"/>
      <c r="L832" s="244"/>
      <c r="M832" s="244"/>
      <c r="N832" s="244"/>
      <c r="O832" s="244"/>
      <c r="P832" s="244"/>
      <c r="Q832" s="244"/>
    </row>
    <row r="833" spans="1:17" x14ac:dyDescent="0.35">
      <c r="A833" s="283"/>
      <c r="B833" s="284"/>
      <c r="C833" s="244"/>
      <c r="D833" s="244"/>
      <c r="E833" s="244"/>
      <c r="F833" s="244"/>
      <c r="G833" s="244"/>
      <c r="H833" s="244"/>
      <c r="I833" s="244"/>
      <c r="J833" s="244"/>
      <c r="K833" s="244"/>
      <c r="L833" s="244"/>
      <c r="M833" s="244"/>
      <c r="N833" s="244"/>
      <c r="O833" s="244"/>
      <c r="P833" s="244"/>
      <c r="Q833" s="244"/>
    </row>
    <row r="834" spans="1:17" x14ac:dyDescent="0.35">
      <c r="A834" s="283"/>
      <c r="B834" s="284"/>
      <c r="C834" s="244"/>
      <c r="D834" s="244"/>
      <c r="E834" s="244"/>
      <c r="F834" s="244"/>
      <c r="G834" s="244"/>
      <c r="H834" s="244"/>
      <c r="I834" s="244"/>
      <c r="J834" s="244"/>
      <c r="K834" s="244"/>
      <c r="L834" s="244"/>
      <c r="M834" s="244"/>
      <c r="N834" s="244"/>
      <c r="O834" s="244"/>
      <c r="P834" s="244"/>
      <c r="Q834" s="244"/>
    </row>
    <row r="835" spans="1:17" x14ac:dyDescent="0.35">
      <c r="A835" s="283"/>
      <c r="B835" s="284"/>
      <c r="C835" s="244"/>
      <c r="D835" s="244"/>
      <c r="E835" s="244"/>
      <c r="F835" s="244"/>
      <c r="G835" s="244"/>
      <c r="H835" s="244"/>
      <c r="I835" s="244"/>
      <c r="J835" s="244"/>
      <c r="K835" s="244"/>
      <c r="L835" s="244"/>
      <c r="M835" s="244"/>
      <c r="N835" s="244"/>
      <c r="O835" s="244"/>
      <c r="P835" s="244"/>
      <c r="Q835" s="244"/>
    </row>
    <row r="836" spans="1:17" x14ac:dyDescent="0.35">
      <c r="A836" s="283"/>
      <c r="B836" s="284"/>
      <c r="C836" s="244"/>
      <c r="D836" s="244"/>
      <c r="E836" s="244"/>
      <c r="F836" s="244"/>
      <c r="G836" s="244"/>
      <c r="H836" s="244"/>
      <c r="I836" s="244"/>
      <c r="J836" s="244"/>
      <c r="K836" s="244"/>
      <c r="L836" s="244"/>
      <c r="M836" s="244"/>
      <c r="N836" s="244"/>
      <c r="O836" s="244"/>
      <c r="P836" s="244"/>
      <c r="Q836" s="244"/>
    </row>
    <row r="837" spans="1:17" x14ac:dyDescent="0.35">
      <c r="A837" s="283"/>
      <c r="B837" s="284"/>
      <c r="C837" s="244"/>
      <c r="D837" s="244"/>
      <c r="E837" s="244"/>
      <c r="F837" s="244"/>
      <c r="G837" s="244"/>
      <c r="H837" s="244"/>
      <c r="I837" s="244"/>
      <c r="J837" s="244"/>
      <c r="K837" s="244"/>
      <c r="L837" s="244"/>
      <c r="M837" s="244"/>
      <c r="N837" s="244"/>
      <c r="O837" s="244"/>
      <c r="P837" s="244"/>
      <c r="Q837" s="244"/>
    </row>
    <row r="838" spans="1:17" x14ac:dyDescent="0.35">
      <c r="A838" s="283"/>
      <c r="B838" s="284"/>
      <c r="C838" s="244"/>
      <c r="D838" s="244"/>
      <c r="E838" s="244"/>
      <c r="F838" s="244"/>
      <c r="G838" s="244"/>
      <c r="H838" s="244"/>
      <c r="I838" s="244"/>
      <c r="J838" s="244"/>
      <c r="K838" s="244"/>
      <c r="L838" s="244"/>
      <c r="M838" s="244"/>
      <c r="N838" s="244"/>
      <c r="O838" s="244"/>
      <c r="P838" s="244"/>
      <c r="Q838" s="244"/>
    </row>
    <row r="839" spans="1:17" x14ac:dyDescent="0.35">
      <c r="A839" s="283"/>
      <c r="B839" s="284"/>
      <c r="C839" s="244"/>
      <c r="D839" s="244"/>
      <c r="E839" s="244"/>
      <c r="F839" s="244"/>
      <c r="G839" s="244"/>
      <c r="H839" s="244"/>
      <c r="I839" s="244"/>
      <c r="J839" s="244"/>
      <c r="K839" s="244"/>
      <c r="L839" s="244"/>
      <c r="M839" s="244"/>
      <c r="N839" s="244"/>
      <c r="O839" s="244"/>
      <c r="P839" s="244"/>
      <c r="Q839" s="244"/>
    </row>
    <row r="840" spans="1:17" x14ac:dyDescent="0.35">
      <c r="A840" s="283"/>
      <c r="B840" s="284"/>
      <c r="C840" s="244"/>
      <c r="D840" s="244"/>
      <c r="E840" s="244"/>
      <c r="F840" s="244"/>
      <c r="G840" s="244"/>
      <c r="H840" s="244"/>
      <c r="I840" s="244"/>
      <c r="J840" s="244"/>
      <c r="K840" s="244"/>
      <c r="L840" s="244"/>
      <c r="M840" s="244"/>
      <c r="N840" s="244"/>
      <c r="O840" s="244"/>
      <c r="P840" s="244"/>
      <c r="Q840" s="244"/>
    </row>
    <row r="841" spans="1:17" x14ac:dyDescent="0.35">
      <c r="A841" s="283"/>
      <c r="B841" s="284"/>
      <c r="C841" s="244"/>
      <c r="D841" s="244"/>
      <c r="E841" s="244"/>
      <c r="F841" s="244"/>
      <c r="G841" s="244"/>
      <c r="H841" s="244"/>
      <c r="I841" s="244"/>
      <c r="J841" s="244"/>
      <c r="K841" s="244"/>
      <c r="L841" s="244"/>
      <c r="M841" s="244"/>
      <c r="N841" s="244"/>
      <c r="O841" s="244"/>
      <c r="P841" s="244"/>
      <c r="Q841" s="244"/>
    </row>
    <row r="842" spans="1:17" x14ac:dyDescent="0.35">
      <c r="A842" s="283"/>
      <c r="B842" s="284"/>
      <c r="C842" s="244"/>
      <c r="D842" s="244"/>
      <c r="E842" s="244"/>
      <c r="F842" s="244"/>
      <c r="G842" s="244"/>
      <c r="H842" s="244"/>
      <c r="I842" s="244"/>
      <c r="J842" s="244"/>
      <c r="K842" s="244"/>
      <c r="L842" s="244"/>
      <c r="M842" s="244"/>
      <c r="N842" s="244"/>
      <c r="O842" s="244"/>
      <c r="P842" s="244"/>
      <c r="Q842" s="244"/>
    </row>
    <row r="843" spans="1:17" x14ac:dyDescent="0.35">
      <c r="A843" s="283"/>
      <c r="B843" s="284"/>
      <c r="C843" s="244"/>
      <c r="D843" s="244"/>
      <c r="E843" s="244"/>
      <c r="F843" s="244"/>
      <c r="G843" s="244"/>
      <c r="H843" s="244"/>
      <c r="I843" s="244"/>
      <c r="J843" s="244"/>
      <c r="K843" s="244"/>
      <c r="L843" s="244"/>
      <c r="M843" s="244"/>
      <c r="N843" s="244"/>
      <c r="O843" s="244"/>
      <c r="P843" s="244"/>
      <c r="Q843" s="244"/>
    </row>
    <row r="845" spans="1:17" ht="15" thickBot="1" x14ac:dyDescent="0.4"/>
    <row r="846" spans="1:17" x14ac:dyDescent="0.35">
      <c r="A846" s="243" t="s">
        <v>375</v>
      </c>
      <c r="B846" s="244"/>
      <c r="C846" s="244"/>
    </row>
    <row r="847" spans="1:17" x14ac:dyDescent="0.35">
      <c r="A847" s="245" t="s">
        <v>376</v>
      </c>
      <c r="B847" s="63" t="s">
        <v>4</v>
      </c>
      <c r="C847" s="63">
        <v>2</v>
      </c>
    </row>
    <row r="848" spans="1:17" x14ac:dyDescent="0.35">
      <c r="A848" s="245" t="s">
        <v>377</v>
      </c>
      <c r="B848" s="63" t="s">
        <v>4</v>
      </c>
      <c r="C848" s="63">
        <v>0.5</v>
      </c>
    </row>
    <row r="849" spans="1:3" x14ac:dyDescent="0.35">
      <c r="A849" s="245" t="s">
        <v>378</v>
      </c>
      <c r="B849" s="63" t="s">
        <v>4</v>
      </c>
      <c r="C849" s="63">
        <v>2</v>
      </c>
    </row>
    <row r="850" spans="1:3" x14ac:dyDescent="0.35">
      <c r="A850" s="245" t="s">
        <v>379</v>
      </c>
      <c r="B850" s="63" t="s">
        <v>4</v>
      </c>
      <c r="C850" s="63">
        <v>0.5</v>
      </c>
    </row>
    <row r="851" spans="1:3" x14ac:dyDescent="0.35">
      <c r="A851" s="245" t="s">
        <v>380</v>
      </c>
      <c r="B851" s="63" t="s">
        <v>4</v>
      </c>
      <c r="C851" s="63">
        <v>2</v>
      </c>
    </row>
    <row r="852" spans="1:3" x14ac:dyDescent="0.35">
      <c r="A852" s="245" t="s">
        <v>381</v>
      </c>
      <c r="B852" s="63" t="s">
        <v>4</v>
      </c>
      <c r="C852" s="63">
        <v>0.5</v>
      </c>
    </row>
    <row r="853" spans="1:3" x14ac:dyDescent="0.35">
      <c r="A853" s="245" t="s">
        <v>382</v>
      </c>
      <c r="B853" s="63" t="s">
        <v>4</v>
      </c>
      <c r="C853" s="63">
        <v>2</v>
      </c>
    </row>
    <row r="854" spans="1:3" x14ac:dyDescent="0.35">
      <c r="A854" s="245" t="s">
        <v>383</v>
      </c>
      <c r="B854" s="63" t="s">
        <v>4</v>
      </c>
      <c r="C854" s="63">
        <v>0.5</v>
      </c>
    </row>
  </sheetData>
  <mergeCells count="35">
    <mergeCell ref="V477:Z477"/>
    <mergeCell ref="AA477:AA478"/>
    <mergeCell ref="A256:T256"/>
    <mergeCell ref="E271:E273"/>
    <mergeCell ref="A285:G285"/>
    <mergeCell ref="H295:J295"/>
    <mergeCell ref="A339:G339"/>
    <mergeCell ref="B477:F477"/>
    <mergeCell ref="G477:K477"/>
    <mergeCell ref="L477:P477"/>
    <mergeCell ref="Q477:U477"/>
    <mergeCell ref="A154:A161"/>
    <mergeCell ref="A168:A199"/>
    <mergeCell ref="A201:A230"/>
    <mergeCell ref="A84:A86"/>
    <mergeCell ref="A87:A116"/>
    <mergeCell ref="A118:A124"/>
    <mergeCell ref="A126:A132"/>
    <mergeCell ref="A135:C135"/>
    <mergeCell ref="A232:A243"/>
    <mergeCell ref="A245:A253"/>
    <mergeCell ref="A81:A83"/>
    <mergeCell ref="A4:A10"/>
    <mergeCell ref="A11:A15"/>
    <mergeCell ref="A16:A18"/>
    <mergeCell ref="A19:A24"/>
    <mergeCell ref="A25:A28"/>
    <mergeCell ref="A29:A34"/>
    <mergeCell ref="A35:A40"/>
    <mergeCell ref="A41:A53"/>
    <mergeCell ref="A54:X54"/>
    <mergeCell ref="A55:A72"/>
    <mergeCell ref="A73:A80"/>
    <mergeCell ref="A136:A147"/>
    <mergeCell ref="A148:A153"/>
  </mergeCells>
  <conditionalFormatting sqref="C137:C138">
    <cfRule type="uniqueValues" dxfId="0" priority="1"/>
  </conditionalFormatting>
  <pageMargins left="0.7" right="0.7" top="0.75" bottom="0.75" header="0.3" footer="0.3"/>
  <pageSetup paperSize="9" orientation="portrait" horizontalDpi="1200" verticalDpi="1200"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6"/>
  <dimension ref="A1:DC164"/>
  <sheetViews>
    <sheetView tabSelected="1" topLeftCell="A119" zoomScale="70" zoomScaleNormal="70" workbookViewId="0">
      <selection activeCell="B123" sqref="B123:CW164"/>
    </sheetView>
  </sheetViews>
  <sheetFormatPr baseColWidth="10" defaultColWidth="11.453125" defaultRowHeight="14.5" x14ac:dyDescent="0.35"/>
  <cols>
    <col min="1" max="1" width="58.81640625" bestFit="1" customWidth="1"/>
    <col min="2" max="2" width="52.81640625" bestFit="1" customWidth="1"/>
    <col min="3" max="3" width="43.453125" bestFit="1" customWidth="1"/>
    <col min="4" max="4" width="20.54296875" customWidth="1"/>
    <col min="5" max="5" width="29" bestFit="1" customWidth="1"/>
    <col min="6" max="6" width="35.453125" bestFit="1" customWidth="1"/>
    <col min="7" max="9" width="20.54296875" customWidth="1"/>
    <col min="10" max="10" width="11.453125" bestFit="1" customWidth="1"/>
    <col min="11" max="11" width="19.54296875" bestFit="1" customWidth="1"/>
    <col min="12" max="12" width="17.81640625" bestFit="1" customWidth="1"/>
    <col min="13" max="13" width="13.54296875" bestFit="1" customWidth="1"/>
    <col min="18" max="18" width="38.81640625" bestFit="1" customWidth="1"/>
    <col min="103" max="103" width="23.81640625" bestFit="1" customWidth="1"/>
    <col min="104" max="104" width="15.453125" bestFit="1" customWidth="1"/>
    <col min="105" max="105" width="35.54296875" bestFit="1" customWidth="1"/>
    <col min="106" max="106" width="59.81640625" bestFit="1" customWidth="1"/>
    <col min="107" max="107" width="29.1796875" bestFit="1" customWidth="1"/>
  </cols>
  <sheetData>
    <row r="1" spans="1:13" ht="29" x14ac:dyDescent="0.35">
      <c r="A1" s="255" t="s">
        <v>420</v>
      </c>
      <c r="B1" s="252" t="s">
        <v>904</v>
      </c>
      <c r="C1" s="252" t="s">
        <v>905</v>
      </c>
      <c r="D1" s="252" t="s">
        <v>906</v>
      </c>
      <c r="E1" s="252" t="s">
        <v>907</v>
      </c>
      <c r="F1" s="252" t="s">
        <v>908</v>
      </c>
      <c r="G1" s="252" t="s">
        <v>909</v>
      </c>
      <c r="H1" s="252" t="s">
        <v>910</v>
      </c>
      <c r="I1" s="252" t="s">
        <v>911</v>
      </c>
      <c r="J1" s="252" t="s">
        <v>912</v>
      </c>
      <c r="K1" s="252" t="s">
        <v>913</v>
      </c>
      <c r="L1" s="252" t="s">
        <v>914</v>
      </c>
      <c r="M1" s="252" t="s">
        <v>915</v>
      </c>
    </row>
    <row r="2" spans="1:13" x14ac:dyDescent="0.35">
      <c r="A2" s="249" t="s">
        <v>400</v>
      </c>
    </row>
    <row r="3" spans="1:13" x14ac:dyDescent="0.35">
      <c r="A3" s="251" t="s">
        <v>389</v>
      </c>
      <c r="B3" s="256">
        <v>0.99</v>
      </c>
      <c r="C3" s="247">
        <v>0</v>
      </c>
      <c r="D3" s="247">
        <v>0</v>
      </c>
      <c r="E3" s="256">
        <v>0.01</v>
      </c>
      <c r="F3" s="247">
        <v>0</v>
      </c>
      <c r="G3" s="247">
        <v>0</v>
      </c>
      <c r="H3" s="247">
        <v>0</v>
      </c>
      <c r="I3" s="247">
        <v>0</v>
      </c>
      <c r="J3" s="247">
        <v>0</v>
      </c>
      <c r="K3" s="247">
        <v>0</v>
      </c>
      <c r="L3" s="256">
        <v>0</v>
      </c>
      <c r="M3" s="247">
        <v>0</v>
      </c>
    </row>
    <row r="4" spans="1:13" x14ac:dyDescent="0.35">
      <c r="A4" s="251" t="s">
        <v>390</v>
      </c>
      <c r="B4" s="247">
        <v>0</v>
      </c>
      <c r="C4" s="247">
        <v>1</v>
      </c>
      <c r="D4" s="247">
        <v>0</v>
      </c>
      <c r="E4" s="247">
        <v>0</v>
      </c>
      <c r="F4" s="247">
        <v>0</v>
      </c>
      <c r="G4" s="247">
        <v>0</v>
      </c>
      <c r="H4" s="247">
        <v>0</v>
      </c>
      <c r="I4" s="247">
        <v>0</v>
      </c>
      <c r="J4" s="247">
        <v>0</v>
      </c>
      <c r="K4" s="247">
        <v>0</v>
      </c>
      <c r="L4" s="247">
        <v>0</v>
      </c>
      <c r="M4" s="247">
        <v>0</v>
      </c>
    </row>
    <row r="5" spans="1:13" x14ac:dyDescent="0.35">
      <c r="A5" s="251" t="s">
        <v>391</v>
      </c>
      <c r="B5" s="247">
        <v>0</v>
      </c>
      <c r="C5" s="247">
        <v>0</v>
      </c>
      <c r="D5" s="247">
        <v>1</v>
      </c>
      <c r="E5" s="247">
        <v>0</v>
      </c>
      <c r="F5" s="247">
        <v>0</v>
      </c>
      <c r="G5" s="247">
        <v>0</v>
      </c>
      <c r="H5" s="247">
        <v>0</v>
      </c>
      <c r="I5" s="247">
        <v>0</v>
      </c>
      <c r="J5" s="247">
        <v>0</v>
      </c>
      <c r="K5" s="247">
        <v>0</v>
      </c>
      <c r="L5" s="247">
        <v>0</v>
      </c>
      <c r="M5" s="247">
        <v>0</v>
      </c>
    </row>
    <row r="6" spans="1:13" x14ac:dyDescent="0.35">
      <c r="A6" s="251" t="s">
        <v>392</v>
      </c>
      <c r="B6" s="247">
        <v>0</v>
      </c>
      <c r="C6" s="247">
        <v>1</v>
      </c>
      <c r="D6" s="247">
        <v>0</v>
      </c>
      <c r="E6" s="247">
        <v>0</v>
      </c>
      <c r="F6" s="247">
        <v>0</v>
      </c>
      <c r="G6" s="247">
        <v>0</v>
      </c>
      <c r="H6" s="247">
        <v>0</v>
      </c>
      <c r="I6" s="247">
        <v>0</v>
      </c>
      <c r="J6" s="247">
        <v>0</v>
      </c>
      <c r="K6" s="247">
        <v>0</v>
      </c>
      <c r="L6" s="247">
        <v>0</v>
      </c>
      <c r="M6" s="247">
        <v>0</v>
      </c>
    </row>
    <row r="7" spans="1:13" x14ac:dyDescent="0.35">
      <c r="A7" s="251" t="s">
        <v>393</v>
      </c>
      <c r="B7" s="247">
        <v>0</v>
      </c>
      <c r="C7" s="247">
        <v>0</v>
      </c>
      <c r="D7" s="247">
        <v>0</v>
      </c>
      <c r="E7" s="247">
        <v>1</v>
      </c>
      <c r="F7" s="247">
        <v>0</v>
      </c>
      <c r="G7" s="247">
        <v>0</v>
      </c>
      <c r="H7" s="247">
        <v>0</v>
      </c>
      <c r="I7" s="247">
        <v>0</v>
      </c>
      <c r="J7" s="247">
        <v>0</v>
      </c>
      <c r="K7" s="247">
        <v>0</v>
      </c>
      <c r="L7" s="247">
        <v>0</v>
      </c>
      <c r="M7" s="247">
        <v>0</v>
      </c>
    </row>
    <row r="8" spans="1:13" x14ac:dyDescent="0.35">
      <c r="A8" s="251" t="s">
        <v>394</v>
      </c>
      <c r="B8" s="247">
        <v>0</v>
      </c>
      <c r="C8" s="247">
        <v>0</v>
      </c>
      <c r="D8" s="247">
        <v>0</v>
      </c>
      <c r="E8" s="247">
        <v>0</v>
      </c>
      <c r="F8" s="247">
        <v>0</v>
      </c>
      <c r="G8" s="247">
        <v>0</v>
      </c>
      <c r="H8" s="247">
        <v>1</v>
      </c>
      <c r="I8" s="247">
        <v>0</v>
      </c>
      <c r="J8" s="247">
        <v>0</v>
      </c>
      <c r="K8" s="247">
        <v>0</v>
      </c>
      <c r="L8" s="247">
        <v>0</v>
      </c>
      <c r="M8" s="247">
        <v>0</v>
      </c>
    </row>
    <row r="9" spans="1:13" x14ac:dyDescent="0.35">
      <c r="A9" s="251" t="s">
        <v>395</v>
      </c>
      <c r="B9" s="247">
        <v>0</v>
      </c>
      <c r="C9" s="247">
        <v>0</v>
      </c>
      <c r="D9" s="247">
        <v>0</v>
      </c>
      <c r="E9" s="247">
        <v>0</v>
      </c>
      <c r="F9" s="247">
        <v>0</v>
      </c>
      <c r="G9" s="247">
        <v>0</v>
      </c>
      <c r="H9" s="247">
        <v>1</v>
      </c>
      <c r="I9" s="247">
        <v>0</v>
      </c>
      <c r="J9" s="247">
        <v>0</v>
      </c>
      <c r="K9" s="247">
        <v>0</v>
      </c>
      <c r="L9" s="247">
        <v>0</v>
      </c>
      <c r="M9" s="247">
        <v>0</v>
      </c>
    </row>
    <row r="10" spans="1:13" x14ac:dyDescent="0.35">
      <c r="A10" s="251" t="s">
        <v>396</v>
      </c>
      <c r="B10" s="247">
        <v>0</v>
      </c>
      <c r="C10" s="247">
        <v>0</v>
      </c>
      <c r="D10" s="247">
        <v>0</v>
      </c>
      <c r="E10" s="247">
        <v>0</v>
      </c>
      <c r="F10" s="247">
        <v>1</v>
      </c>
      <c r="G10" s="247">
        <v>0</v>
      </c>
      <c r="H10" s="247">
        <v>0</v>
      </c>
      <c r="I10" s="247">
        <v>0</v>
      </c>
      <c r="J10" s="247">
        <v>0</v>
      </c>
      <c r="K10" s="247">
        <v>0</v>
      </c>
      <c r="L10" s="247">
        <v>0</v>
      </c>
      <c r="M10" s="247">
        <v>0</v>
      </c>
    </row>
    <row r="11" spans="1:13" x14ac:dyDescent="0.35">
      <c r="A11" s="251" t="s">
        <v>401</v>
      </c>
      <c r="B11" s="247">
        <v>0</v>
      </c>
      <c r="C11" s="247">
        <v>0</v>
      </c>
      <c r="D11" s="247">
        <v>0</v>
      </c>
      <c r="E11" s="247">
        <v>0</v>
      </c>
      <c r="F11" s="247">
        <v>0</v>
      </c>
      <c r="G11" s="247">
        <v>1</v>
      </c>
      <c r="H11" s="247">
        <v>0</v>
      </c>
      <c r="I11" s="247">
        <v>0</v>
      </c>
      <c r="J11" s="247">
        <v>0</v>
      </c>
      <c r="K11" s="247">
        <v>0</v>
      </c>
      <c r="L11" s="247">
        <v>0</v>
      </c>
      <c r="M11" s="247">
        <v>0</v>
      </c>
    </row>
    <row r="12" spans="1:13" x14ac:dyDescent="0.35">
      <c r="A12" s="251" t="s">
        <v>402</v>
      </c>
      <c r="B12" s="247">
        <v>0</v>
      </c>
      <c r="C12" s="247">
        <v>0</v>
      </c>
      <c r="D12" s="247">
        <v>0</v>
      </c>
      <c r="E12" s="247">
        <v>0</v>
      </c>
      <c r="F12" s="247">
        <v>0</v>
      </c>
      <c r="G12" s="247">
        <v>0</v>
      </c>
      <c r="H12" s="247">
        <v>0</v>
      </c>
      <c r="I12" s="247">
        <v>1</v>
      </c>
      <c r="J12" s="247">
        <v>0</v>
      </c>
      <c r="K12" s="247">
        <v>0</v>
      </c>
      <c r="L12" s="247">
        <v>0</v>
      </c>
      <c r="M12" s="247">
        <v>0</v>
      </c>
    </row>
    <row r="13" spans="1:13" x14ac:dyDescent="0.35">
      <c r="A13" s="251" t="s">
        <v>403</v>
      </c>
      <c r="B13" s="247">
        <v>0</v>
      </c>
      <c r="C13" s="247">
        <v>0</v>
      </c>
      <c r="D13" s="247">
        <v>0</v>
      </c>
      <c r="E13" s="247">
        <v>0</v>
      </c>
      <c r="F13" s="247">
        <v>0</v>
      </c>
      <c r="G13" s="247">
        <v>0</v>
      </c>
      <c r="H13" s="247">
        <v>0</v>
      </c>
      <c r="I13" s="247">
        <v>0</v>
      </c>
      <c r="J13" s="247">
        <v>1</v>
      </c>
      <c r="K13" s="247">
        <v>0</v>
      </c>
      <c r="L13" s="247">
        <v>0</v>
      </c>
      <c r="M13" s="247">
        <v>0</v>
      </c>
    </row>
    <row r="14" spans="1:13" x14ac:dyDescent="0.35">
      <c r="A14" s="251" t="s">
        <v>404</v>
      </c>
      <c r="B14" s="247">
        <v>0</v>
      </c>
      <c r="C14" s="247">
        <v>0</v>
      </c>
      <c r="D14" s="247">
        <v>0</v>
      </c>
      <c r="E14" s="247">
        <v>0</v>
      </c>
      <c r="F14" s="247">
        <v>0</v>
      </c>
      <c r="G14" s="247">
        <v>0</v>
      </c>
      <c r="H14" s="247">
        <v>0</v>
      </c>
      <c r="I14" s="247">
        <v>0</v>
      </c>
      <c r="J14" s="247">
        <v>0</v>
      </c>
      <c r="K14" s="247">
        <v>1</v>
      </c>
      <c r="L14" s="247">
        <v>0</v>
      </c>
      <c r="M14" s="247">
        <v>0</v>
      </c>
    </row>
    <row r="15" spans="1:13" x14ac:dyDescent="0.35">
      <c r="A15" s="251" t="s">
        <v>405</v>
      </c>
      <c r="B15" s="247">
        <v>0</v>
      </c>
      <c r="C15" s="247">
        <v>0</v>
      </c>
      <c r="D15" s="247">
        <v>0</v>
      </c>
      <c r="E15" s="247">
        <v>0</v>
      </c>
      <c r="F15" s="247">
        <v>0</v>
      </c>
      <c r="G15" s="247">
        <v>0</v>
      </c>
      <c r="H15" s="247">
        <v>0</v>
      </c>
      <c r="I15" s="247">
        <v>0</v>
      </c>
      <c r="J15" s="247">
        <v>0</v>
      </c>
      <c r="K15" s="247">
        <v>0</v>
      </c>
      <c r="L15" s="247">
        <v>1</v>
      </c>
      <c r="M15" s="247">
        <v>0</v>
      </c>
    </row>
    <row r="16" spans="1:13" x14ac:dyDescent="0.35">
      <c r="A16" s="251" t="s">
        <v>406</v>
      </c>
      <c r="B16" s="247">
        <v>0</v>
      </c>
      <c r="C16" s="247">
        <v>0</v>
      </c>
      <c r="D16" s="247">
        <v>0</v>
      </c>
      <c r="E16" s="247">
        <v>0</v>
      </c>
      <c r="F16" s="247">
        <v>0</v>
      </c>
      <c r="G16" s="247">
        <v>0</v>
      </c>
      <c r="H16" s="247">
        <v>0</v>
      </c>
      <c r="I16" s="247">
        <v>0</v>
      </c>
      <c r="J16" s="247">
        <v>0</v>
      </c>
      <c r="K16" s="247">
        <v>0</v>
      </c>
      <c r="L16" s="247">
        <v>0</v>
      </c>
      <c r="M16" s="247">
        <v>1</v>
      </c>
    </row>
    <row r="17" spans="1:6" x14ac:dyDescent="0.35">
      <c r="A17" s="83"/>
    </row>
    <row r="18" spans="1:6" x14ac:dyDescent="0.35">
      <c r="A18" s="255" t="s">
        <v>919</v>
      </c>
    </row>
    <row r="19" spans="1:6" x14ac:dyDescent="0.35">
      <c r="A19" s="304" t="s">
        <v>918</v>
      </c>
      <c r="B19" s="252">
        <v>2015</v>
      </c>
      <c r="C19" s="252">
        <v>2020</v>
      </c>
      <c r="D19" s="252">
        <v>2030</v>
      </c>
      <c r="E19" s="252">
        <v>2040</v>
      </c>
      <c r="F19" s="252">
        <v>2050</v>
      </c>
    </row>
    <row r="20" spans="1:6" x14ac:dyDescent="0.35">
      <c r="A20" s="251" t="s">
        <v>498</v>
      </c>
      <c r="B20" s="296">
        <f>'[5]O&amp;M_cost_vensim'!B3</f>
        <v>4.5</v>
      </c>
      <c r="C20" s="296">
        <f>'[5]O&amp;M_cost_vensim'!C3</f>
        <v>4.4000000000000004</v>
      </c>
      <c r="D20" s="296">
        <f>'[5]O&amp;M_cost_vensim'!D3</f>
        <v>4.2</v>
      </c>
      <c r="E20" s="296">
        <f>'[5]O&amp;M_cost_vensim'!E3</f>
        <v>4.0999999999999996</v>
      </c>
      <c r="F20" s="296">
        <f>'[5]O&amp;M_cost_vensim'!F3</f>
        <v>4</v>
      </c>
    </row>
    <row r="21" spans="1:6" x14ac:dyDescent="0.35">
      <c r="A21" s="251" t="s">
        <v>916</v>
      </c>
      <c r="B21" s="296">
        <f>'[5]O&amp;M_cost_vensim'!B4</f>
        <v>0</v>
      </c>
      <c r="C21" s="296">
        <f>'[5]O&amp;M_cost_vensim'!C4</f>
        <v>0</v>
      </c>
      <c r="D21" s="296">
        <f>'[5]O&amp;M_cost_vensim'!D4</f>
        <v>0</v>
      </c>
      <c r="E21" s="296">
        <f>'[5]O&amp;M_cost_vensim'!E4</f>
        <v>0</v>
      </c>
      <c r="F21" s="296">
        <f>'[5]O&amp;M_cost_vensim'!F4</f>
        <v>0</v>
      </c>
    </row>
    <row r="22" spans="1:6" x14ac:dyDescent="0.35">
      <c r="A22" s="251" t="s">
        <v>501</v>
      </c>
      <c r="B22" s="296">
        <f>'[5]O&amp;M_cost_vensim'!B5</f>
        <v>0.6</v>
      </c>
      <c r="C22" s="296">
        <f>'[5]O&amp;M_cost_vensim'!C5</f>
        <v>0.6</v>
      </c>
      <c r="D22" s="296">
        <f>'[5]O&amp;M_cost_vensim'!D5</f>
        <v>0.6</v>
      </c>
      <c r="E22" s="296">
        <f>'[5]O&amp;M_cost_vensim'!E5</f>
        <v>0.6</v>
      </c>
      <c r="F22" s="296">
        <f>'[5]O&amp;M_cost_vensim'!F5</f>
        <v>0.6</v>
      </c>
    </row>
    <row r="23" spans="1:6" x14ac:dyDescent="0.35">
      <c r="A23" s="251" t="s">
        <v>580</v>
      </c>
      <c r="B23" s="296">
        <f>'[5]O&amp;M_cost_vensim'!B6</f>
        <v>2.95</v>
      </c>
      <c r="C23" s="296">
        <f>'[5]O&amp;M_cost_vensim'!C6</f>
        <v>2.9</v>
      </c>
      <c r="D23" s="296">
        <f>'[5]O&amp;M_cost_vensim'!D6</f>
        <v>2.84</v>
      </c>
      <c r="E23" s="296">
        <f>'[5]O&amp;M_cost_vensim'!E6</f>
        <v>2.7800000000000002</v>
      </c>
      <c r="F23" s="296">
        <f>'[5]O&amp;M_cost_vensim'!F6</f>
        <v>2.72</v>
      </c>
    </row>
    <row r="24" spans="1:6" x14ac:dyDescent="0.35">
      <c r="A24" s="251" t="s">
        <v>502</v>
      </c>
      <c r="B24" s="296">
        <f>'[5]O&amp;M_cost_vensim'!B7</f>
        <v>26.134999999999998</v>
      </c>
      <c r="C24" s="296">
        <f>'[5]O&amp;M_cost_vensim'!C7</f>
        <v>26.134999999999998</v>
      </c>
      <c r="D24" s="296">
        <f>'[5]O&amp;M_cost_vensim'!D7</f>
        <v>25.475000000000001</v>
      </c>
      <c r="E24" s="296">
        <f>'[5]O&amp;M_cost_vensim'!E7</f>
        <v>25.022500000000001</v>
      </c>
      <c r="F24" s="296">
        <f>'[5]O&amp;M_cost_vensim'!F7</f>
        <v>24.57</v>
      </c>
    </row>
    <row r="25" spans="1:6" x14ac:dyDescent="0.35">
      <c r="A25" s="251" t="s">
        <v>583</v>
      </c>
      <c r="B25" s="296">
        <f>'[5]O&amp;M_cost_vensim'!B8</f>
        <v>2.78</v>
      </c>
      <c r="C25" s="296">
        <f>'[5]O&amp;M_cost_vensim'!C8</f>
        <v>2.7816666666666663</v>
      </c>
      <c r="D25" s="296">
        <f>'[5]O&amp;M_cost_vensim'!D8</f>
        <v>2.77</v>
      </c>
      <c r="E25" s="296">
        <f>'[5]O&amp;M_cost_vensim'!E8</f>
        <v>2.7841666666666667</v>
      </c>
      <c r="F25" s="296">
        <f>'[5]O&amp;M_cost_vensim'!F8</f>
        <v>2.7983333333333338</v>
      </c>
    </row>
    <row r="26" spans="1:6" x14ac:dyDescent="0.35">
      <c r="A26" s="251" t="s">
        <v>503</v>
      </c>
      <c r="B26" s="296">
        <f>'[5]O&amp;M_cost_vensim'!B9</f>
        <v>0.5</v>
      </c>
      <c r="C26" s="296">
        <f>'[5]O&amp;M_cost_vensim'!C9</f>
        <v>0.5</v>
      </c>
      <c r="D26" s="296">
        <f>'[5]O&amp;M_cost_vensim'!D9</f>
        <v>0.5</v>
      </c>
      <c r="E26" s="296">
        <f>'[5]O&amp;M_cost_vensim'!E9</f>
        <v>0.5</v>
      </c>
      <c r="F26" s="296">
        <f>'[5]O&amp;M_cost_vensim'!F9</f>
        <v>0.5</v>
      </c>
    </row>
    <row r="27" spans="1:6" x14ac:dyDescent="0.35">
      <c r="A27" s="251" t="s">
        <v>582</v>
      </c>
      <c r="B27" s="296">
        <f>'[5]O&amp;M_cost_vensim'!B10</f>
        <v>2.2050000000000001</v>
      </c>
      <c r="C27" s="296">
        <f>'[5]O&amp;M_cost_vensim'!C10</f>
        <v>2.33</v>
      </c>
      <c r="D27" s="296">
        <f>'[5]O&amp;M_cost_vensim'!D10</f>
        <v>3.0150000000000001</v>
      </c>
      <c r="E27" s="296">
        <f>'[5]O&amp;M_cost_vensim'!E10</f>
        <v>3.1850000000000001</v>
      </c>
      <c r="F27" s="296">
        <f>'[5]O&amp;M_cost_vensim'!F10</f>
        <v>3.355</v>
      </c>
    </row>
    <row r="28" spans="1:6" x14ac:dyDescent="0.35">
      <c r="A28" s="251" t="s">
        <v>504</v>
      </c>
      <c r="B28" s="296">
        <f>'[5]O&amp;M_cost_vensim'!B11</f>
        <v>4.1520000000000001</v>
      </c>
      <c r="C28" s="296">
        <f>'[5]O&amp;M_cost_vensim'!C11</f>
        <v>4.1520000000000001</v>
      </c>
      <c r="D28" s="296">
        <f>'[5]O&amp;M_cost_vensim'!D11</f>
        <v>4.1159999999999997</v>
      </c>
      <c r="E28" s="296">
        <f>'[5]O&amp;M_cost_vensim'!E11</f>
        <v>4.274</v>
      </c>
      <c r="F28" s="296">
        <f>'[5]O&amp;M_cost_vensim'!F11</f>
        <v>4.29</v>
      </c>
    </row>
    <row r="29" spans="1:6" x14ac:dyDescent="0.35">
      <c r="A29" s="251" t="s">
        <v>505</v>
      </c>
      <c r="B29" s="296">
        <f>'[5]O&amp;M_cost_vensim'!B12</f>
        <v>0.5</v>
      </c>
      <c r="C29" s="296">
        <f>'[5]O&amp;M_cost_vensim'!C12</f>
        <v>0.5</v>
      </c>
      <c r="D29" s="296">
        <f>'[5]O&amp;M_cost_vensim'!D12</f>
        <v>0.5</v>
      </c>
      <c r="E29" s="296">
        <f>'[5]O&amp;M_cost_vensim'!E12</f>
        <v>0.5</v>
      </c>
      <c r="F29" s="296">
        <f>'[5]O&amp;M_cost_vensim'!F12</f>
        <v>0.5</v>
      </c>
    </row>
    <row r="30" spans="1:6" x14ac:dyDescent="0.35">
      <c r="A30" s="251" t="s">
        <v>917</v>
      </c>
      <c r="B30" s="296">
        <f>'[5]O&amp;M_cost_vensim'!B13</f>
        <v>0</v>
      </c>
      <c r="C30" s="296">
        <f>'[5]O&amp;M_cost_vensim'!C13</f>
        <v>0</v>
      </c>
      <c r="D30" s="296">
        <f>'[5]O&amp;M_cost_vensim'!D13</f>
        <v>0</v>
      </c>
      <c r="E30" s="296">
        <f>'[5]O&amp;M_cost_vensim'!E13</f>
        <v>0</v>
      </c>
      <c r="F30" s="296">
        <f>'[5]O&amp;M_cost_vensim'!F13</f>
        <v>0</v>
      </c>
    </row>
    <row r="31" spans="1:6" x14ac:dyDescent="0.35">
      <c r="A31" s="251" t="s">
        <v>587</v>
      </c>
      <c r="B31" s="296">
        <f>'[5]O&amp;M_cost_vensim'!B14</f>
        <v>1.9845000000000002</v>
      </c>
      <c r="C31" s="296">
        <f>'[5]O&amp;M_cost_vensim'!C14</f>
        <v>2.097</v>
      </c>
      <c r="D31" s="296">
        <f>'[5]O&amp;M_cost_vensim'!D14</f>
        <v>2.7135000000000002</v>
      </c>
      <c r="E31" s="296">
        <f>'[5]O&amp;M_cost_vensim'!E14</f>
        <v>2.8665000000000003</v>
      </c>
      <c r="F31" s="296">
        <f>'[5]O&amp;M_cost_vensim'!F14</f>
        <v>3.0194999999999999</v>
      </c>
    </row>
    <row r="32" spans="1:6" x14ac:dyDescent="0.35">
      <c r="A32" s="251" t="s">
        <v>507</v>
      </c>
      <c r="B32" s="296">
        <f>'[5]O&amp;M_cost_vensim'!B15</f>
        <v>7.22</v>
      </c>
      <c r="C32" s="296">
        <f>'[5]O&amp;M_cost_vensim'!C15</f>
        <v>7.38</v>
      </c>
      <c r="D32" s="296">
        <f>'[5]O&amp;M_cost_vensim'!D15</f>
        <v>8.16</v>
      </c>
      <c r="E32" s="296">
        <f>'[5]O&amp;M_cost_vensim'!E15</f>
        <v>8.3150000000000013</v>
      </c>
      <c r="F32" s="296">
        <f>'[5]O&amp;M_cost_vensim'!F15</f>
        <v>8.4700000000000006</v>
      </c>
    </row>
    <row r="33" spans="1:6" x14ac:dyDescent="0.35">
      <c r="A33" s="251" t="s">
        <v>584</v>
      </c>
      <c r="B33" s="296">
        <f>'[5]O&amp;M_cost_vensim'!B16</f>
        <v>2.78</v>
      </c>
      <c r="C33" s="296">
        <f>'[5]O&amp;M_cost_vensim'!C16</f>
        <v>2.7816666666666663</v>
      </c>
      <c r="D33" s="296">
        <f>'[5]O&amp;M_cost_vensim'!D16</f>
        <v>2.77</v>
      </c>
      <c r="E33" s="296">
        <f>'[5]O&amp;M_cost_vensim'!E16</f>
        <v>2.7841666666666667</v>
      </c>
      <c r="F33" s="296">
        <f>'[5]O&amp;M_cost_vensim'!F16</f>
        <v>2.7983333333333338</v>
      </c>
    </row>
    <row r="34" spans="1:6" x14ac:dyDescent="0.35">
      <c r="A34" s="251" t="s">
        <v>508</v>
      </c>
      <c r="B34" s="296">
        <f>'[5]O&amp;M_cost_vensim'!B17</f>
        <v>4.4000000000000004</v>
      </c>
      <c r="C34" s="296">
        <f>'[5]O&amp;M_cost_vensim'!C17</f>
        <v>4.4000000000000004</v>
      </c>
      <c r="D34" s="296">
        <f>'[5]O&amp;M_cost_vensim'!D17</f>
        <v>4.2</v>
      </c>
      <c r="E34" s="296">
        <f>'[5]O&amp;M_cost_vensim'!E17</f>
        <v>4.0999999999999996</v>
      </c>
      <c r="F34" s="296">
        <f>'[5]O&amp;M_cost_vensim'!F17</f>
        <v>4</v>
      </c>
    </row>
    <row r="35" spans="1:6" x14ac:dyDescent="0.35">
      <c r="A35" s="251" t="s">
        <v>510</v>
      </c>
      <c r="B35" s="296">
        <f>'[5]O&amp;M_cost_vensim'!B18</f>
        <v>29</v>
      </c>
      <c r="C35" s="296">
        <f>'[5]O&amp;M_cost_vensim'!C18</f>
        <v>29</v>
      </c>
      <c r="D35" s="296">
        <f>'[5]O&amp;M_cost_vensim'!D18</f>
        <v>29</v>
      </c>
      <c r="E35" s="296">
        <f>'[5]O&amp;M_cost_vensim'!E18</f>
        <v>29</v>
      </c>
      <c r="F35" s="296">
        <f>'[5]O&amp;M_cost_vensim'!F18</f>
        <v>29</v>
      </c>
    </row>
    <row r="36" spans="1:6" x14ac:dyDescent="0.35">
      <c r="A36" s="251" t="s">
        <v>511</v>
      </c>
      <c r="B36" s="296">
        <f>'[5]O&amp;M_cost_vensim'!B19</f>
        <v>3.3508975192769401E-2</v>
      </c>
      <c r="C36" s="296">
        <f>'[5]O&amp;M_cost_vensim'!C19</f>
        <v>4.3184210328888563E-2</v>
      </c>
      <c r="D36" s="296">
        <f>'[5]O&amp;M_cost_vensim'!D19</f>
        <v>4.3184210328888563E-2</v>
      </c>
      <c r="E36" s="296">
        <f>'[5]O&amp;M_cost_vensim'!E19</f>
        <v>4.3184210328888563E-2</v>
      </c>
      <c r="F36" s="296">
        <f>'[5]O&amp;M_cost_vensim'!F19</f>
        <v>4.3184210328888563E-2</v>
      </c>
    </row>
    <row r="37" spans="1:6" x14ac:dyDescent="0.35">
      <c r="A37" s="251" t="s">
        <v>512</v>
      </c>
      <c r="B37" s="296">
        <f>'[5]O&amp;M_cost_vensim'!B20</f>
        <v>4.1696932076287961E-2</v>
      </c>
      <c r="C37" s="296">
        <f>'[5]O&amp;M_cost_vensim'!C20</f>
        <v>5.6880969051194427E-2</v>
      </c>
      <c r="D37" s="296">
        <f>'[5]O&amp;M_cost_vensim'!D20</f>
        <v>5.6880969051194427E-2</v>
      </c>
      <c r="E37" s="296">
        <f>'[5]O&amp;M_cost_vensim'!E20</f>
        <v>5.6880969051194427E-2</v>
      </c>
      <c r="F37" s="296">
        <f>'[5]O&amp;M_cost_vensim'!F20</f>
        <v>5.6880969051194427E-2</v>
      </c>
    </row>
    <row r="38" spans="1:6" x14ac:dyDescent="0.35">
      <c r="A38" s="251" t="s">
        <v>513</v>
      </c>
      <c r="B38" s="296">
        <f>'[5]O&amp;M_cost_vensim'!B21</f>
        <v>6</v>
      </c>
      <c r="C38" s="296">
        <f>'[5]O&amp;M_cost_vensim'!C21</f>
        <v>6</v>
      </c>
      <c r="D38" s="296">
        <f>'[5]O&amp;M_cost_vensim'!D21</f>
        <v>6</v>
      </c>
      <c r="E38" s="296">
        <f>'[5]O&amp;M_cost_vensim'!E21</f>
        <v>6</v>
      </c>
      <c r="F38" s="296">
        <f>'[5]O&amp;M_cost_vensim'!F21</f>
        <v>6</v>
      </c>
    </row>
    <row r="39" spans="1:6" x14ac:dyDescent="0.35">
      <c r="A39" s="251" t="s">
        <v>515</v>
      </c>
      <c r="B39" s="296">
        <f>'[5]O&amp;M_cost_vensim'!B22</f>
        <v>3.875</v>
      </c>
      <c r="C39" s="296">
        <f>'[5]O&amp;M_cost_vensim'!C22</f>
        <v>3.875</v>
      </c>
      <c r="D39" s="296">
        <f>'[5]O&amp;M_cost_vensim'!D22</f>
        <v>3.875</v>
      </c>
      <c r="E39" s="296">
        <f>'[5]O&amp;M_cost_vensim'!E22</f>
        <v>3.875</v>
      </c>
      <c r="F39" s="296">
        <f>'[5]O&amp;M_cost_vensim'!F22</f>
        <v>3.875</v>
      </c>
    </row>
    <row r="40" spans="1:6" x14ac:dyDescent="0.35">
      <c r="A40" s="251" t="s">
        <v>516</v>
      </c>
      <c r="B40" s="296">
        <f>'[5]O&amp;M_cost_vensim'!B23</f>
        <v>20</v>
      </c>
      <c r="C40" s="296">
        <f>'[5]O&amp;M_cost_vensim'!C23</f>
        <v>15</v>
      </c>
      <c r="D40" s="296">
        <f>'[5]O&amp;M_cost_vensim'!D23</f>
        <v>10</v>
      </c>
      <c r="E40" s="296">
        <f>'[5]O&amp;M_cost_vensim'!E23</f>
        <v>8.5</v>
      </c>
      <c r="F40" s="296">
        <f>'[5]O&amp;M_cost_vensim'!F23</f>
        <v>7</v>
      </c>
    </row>
    <row r="41" spans="1:6" x14ac:dyDescent="0.35">
      <c r="A41" s="251" t="s">
        <v>517</v>
      </c>
      <c r="B41" s="296">
        <f>'[5]O&amp;M_cost_vensim'!B24</f>
        <v>2.9774436103999999</v>
      </c>
      <c r="C41" s="296">
        <f>'[5]O&amp;M_cost_vensim'!C24</f>
        <v>1.5950590770000002</v>
      </c>
      <c r="D41" s="296">
        <f>'[5]O&amp;M_cost_vensim'!D24</f>
        <v>1.4355531693000003</v>
      </c>
      <c r="E41" s="296">
        <f>'[5]O&amp;M_cost_vensim'!E24</f>
        <v>1.31858217032</v>
      </c>
      <c r="F41" s="296">
        <f>'[5]O&amp;M_cost_vensim'!F24</f>
        <v>1.29731471596</v>
      </c>
    </row>
    <row r="42" spans="1:6" x14ac:dyDescent="0.35">
      <c r="A42" s="251" t="s">
        <v>644</v>
      </c>
      <c r="B42" s="296">
        <f>'[5]O&amp;M_cost_vensim'!B25</f>
        <v>9.5447278459725133</v>
      </c>
      <c r="C42" s="296">
        <f>'[5]O&amp;M_cost_vensim'!C25</f>
        <v>8.5052030310646156</v>
      </c>
      <c r="D42" s="296">
        <f>'[5]O&amp;M_cost_vensim'!D25</f>
        <v>7.1821714484545645</v>
      </c>
      <c r="E42" s="296">
        <f>'[5]O&amp;M_cost_vensim'!E25</f>
        <v>6.1426466335466667</v>
      </c>
      <c r="F42" s="296">
        <f>'[5]O&amp;M_cost_vensim'!F25</f>
        <v>5.575633098142359</v>
      </c>
    </row>
    <row r="43" spans="1:6" x14ac:dyDescent="0.35">
      <c r="A43" s="251" t="s">
        <v>518</v>
      </c>
      <c r="B43" s="296">
        <f>'[5]O&amp;M_cost_vensim'!B26</f>
        <v>15.025858688214155</v>
      </c>
      <c r="C43" s="296">
        <f>'[5]O&amp;M_cost_vensim'!C26</f>
        <v>12.096288755291898</v>
      </c>
      <c r="D43" s="296">
        <f>'[5]O&amp;M_cost_vensim'!D26</f>
        <v>9.6392301018732311</v>
      </c>
      <c r="E43" s="296">
        <f>'[5]O&amp;M_cost_vensim'!E26</f>
        <v>8.5997052869653352</v>
      </c>
      <c r="F43" s="296">
        <f>'[5]O&amp;M_cost_vensim'!F26</f>
        <v>8.0326917515610265</v>
      </c>
    </row>
    <row r="44" spans="1:6" x14ac:dyDescent="0.35">
      <c r="A44" s="251" t="s">
        <v>585</v>
      </c>
      <c r="B44" s="296">
        <f>'[5]O&amp;M_cost_vensim'!B27</f>
        <v>3.375</v>
      </c>
      <c r="C44" s="296">
        <f>'[5]O&amp;M_cost_vensim'!C27</f>
        <v>3.375</v>
      </c>
      <c r="D44" s="296">
        <f>'[5]O&amp;M_cost_vensim'!D27</f>
        <v>3.375</v>
      </c>
      <c r="E44" s="296">
        <f>'[5]O&amp;M_cost_vensim'!E27</f>
        <v>3.375</v>
      </c>
      <c r="F44" s="296">
        <f>'[5]O&amp;M_cost_vensim'!F27</f>
        <v>3.375</v>
      </c>
    </row>
    <row r="45" spans="1:6" x14ac:dyDescent="0.35">
      <c r="A45" s="251" t="s">
        <v>519</v>
      </c>
      <c r="B45" s="296">
        <f>'[5]O&amp;M_cost_vensim'!B28</f>
        <v>23.5215</v>
      </c>
      <c r="C45" s="296">
        <f>'[5]O&amp;M_cost_vensim'!C28</f>
        <v>23.5215</v>
      </c>
      <c r="D45" s="296">
        <f>'[5]O&amp;M_cost_vensim'!D28</f>
        <v>22.927500000000002</v>
      </c>
      <c r="E45" s="296">
        <f>'[5]O&amp;M_cost_vensim'!E28</f>
        <v>22.520250000000001</v>
      </c>
      <c r="F45" s="296">
        <f>'[5]O&amp;M_cost_vensim'!F28</f>
        <v>22.113</v>
      </c>
    </row>
    <row r="46" spans="1:6" x14ac:dyDescent="0.35">
      <c r="A46" s="251" t="s">
        <v>521</v>
      </c>
      <c r="B46" s="296">
        <f>'[5]O&amp;M_cost_vensim'!B29</f>
        <v>5</v>
      </c>
      <c r="C46" s="296">
        <f>'[5]O&amp;M_cost_vensim'!C29</f>
        <v>4.17</v>
      </c>
      <c r="D46" s="296">
        <f>'[5]O&amp;M_cost_vensim'!D29</f>
        <v>3.89</v>
      </c>
      <c r="E46" s="296">
        <f>'[5]O&amp;M_cost_vensim'!E29</f>
        <v>3.42</v>
      </c>
      <c r="F46" s="296">
        <f>'[5]O&amp;M_cost_vensim'!F29</f>
        <v>3.25</v>
      </c>
    </row>
    <row r="47" spans="1:6" x14ac:dyDescent="0.35">
      <c r="A47" s="251" t="s">
        <v>522</v>
      </c>
      <c r="B47" s="296">
        <f>'[5]O&amp;M_cost_vensim'!B30</f>
        <v>2.9774436103999999</v>
      </c>
      <c r="C47" s="296">
        <f>'[5]O&amp;M_cost_vensim'!C30</f>
        <v>1.5950590770000002</v>
      </c>
      <c r="D47" s="296">
        <f>'[5]O&amp;M_cost_vensim'!D30</f>
        <v>1.4355531693000003</v>
      </c>
      <c r="E47" s="296">
        <f>'[5]O&amp;M_cost_vensim'!E30</f>
        <v>1.31858217032</v>
      </c>
      <c r="F47" s="296">
        <f>'[5]O&amp;M_cost_vensim'!F30</f>
        <v>1.29731471596</v>
      </c>
    </row>
    <row r="48" spans="1:6" x14ac:dyDescent="0.35">
      <c r="A48" s="83"/>
    </row>
    <row r="49" spans="1:8" x14ac:dyDescent="0.35">
      <c r="A49" s="83"/>
    </row>
    <row r="50" spans="1:8" x14ac:dyDescent="0.35">
      <c r="A50" s="83"/>
    </row>
    <row r="51" spans="1:8" x14ac:dyDescent="0.35">
      <c r="A51" s="83"/>
    </row>
    <row r="52" spans="1:8" x14ac:dyDescent="0.35">
      <c r="A52" s="83"/>
    </row>
    <row r="55" spans="1:8" ht="29" x14ac:dyDescent="0.35">
      <c r="A55" s="255" t="s">
        <v>576</v>
      </c>
      <c r="B55" s="252" t="s">
        <v>428</v>
      </c>
      <c r="C55" s="252" t="s">
        <v>494</v>
      </c>
      <c r="D55" s="252" t="s">
        <v>432</v>
      </c>
      <c r="E55" s="252" t="s">
        <v>433</v>
      </c>
      <c r="F55" s="252" t="s">
        <v>495</v>
      </c>
      <c r="G55" s="252" t="s">
        <v>496</v>
      </c>
      <c r="H55" s="252" t="s">
        <v>497</v>
      </c>
    </row>
    <row r="56" spans="1:8" x14ac:dyDescent="0.35">
      <c r="A56" s="237" t="s">
        <v>571</v>
      </c>
      <c r="B56" s="258" t="s">
        <v>307</v>
      </c>
      <c r="C56" s="258" t="s">
        <v>307</v>
      </c>
      <c r="D56" s="258" t="s">
        <v>307</v>
      </c>
      <c r="E56" s="258" t="s">
        <v>307</v>
      </c>
      <c r="F56" s="258" t="s">
        <v>307</v>
      </c>
      <c r="G56" s="258" t="s">
        <v>307</v>
      </c>
      <c r="H56" s="258" t="s">
        <v>307</v>
      </c>
    </row>
    <row r="57" spans="1:8" x14ac:dyDescent="0.35">
      <c r="A57" s="251" t="s">
        <v>731</v>
      </c>
      <c r="B57" s="247">
        <v>0</v>
      </c>
      <c r="C57" s="247">
        <v>0</v>
      </c>
      <c r="D57" s="247">
        <v>0</v>
      </c>
      <c r="E57" s="296">
        <v>1</v>
      </c>
      <c r="F57" s="296">
        <v>-1</v>
      </c>
      <c r="G57" s="247">
        <v>0</v>
      </c>
      <c r="H57" s="247">
        <v>0</v>
      </c>
    </row>
    <row r="58" spans="1:8" x14ac:dyDescent="0.35">
      <c r="A58" s="251" t="s">
        <v>732</v>
      </c>
      <c r="B58" s="247">
        <v>0</v>
      </c>
      <c r="C58" s="296">
        <v>-1</v>
      </c>
      <c r="D58" s="247">
        <v>0</v>
      </c>
      <c r="E58" s="296">
        <v>1</v>
      </c>
      <c r="F58" s="247">
        <v>0</v>
      </c>
      <c r="G58" s="247">
        <v>0</v>
      </c>
      <c r="H58" s="247">
        <v>0</v>
      </c>
    </row>
    <row r="59" spans="1:8" x14ac:dyDescent="0.35">
      <c r="A59" s="282" t="s">
        <v>554</v>
      </c>
      <c r="B59" s="296">
        <v>1</v>
      </c>
      <c r="C59" s="247">
        <v>0</v>
      </c>
      <c r="D59" s="247">
        <v>0</v>
      </c>
      <c r="E59" s="296">
        <v>-1</v>
      </c>
      <c r="F59" s="247">
        <v>0</v>
      </c>
      <c r="G59" s="247">
        <v>0</v>
      </c>
      <c r="H59" s="247">
        <v>0</v>
      </c>
    </row>
    <row r="60" spans="1:8" x14ac:dyDescent="0.35">
      <c r="A60" s="277"/>
      <c r="B60" s="278"/>
      <c r="C60" s="278"/>
      <c r="D60" s="278"/>
      <c r="E60" s="278"/>
      <c r="F60" s="278"/>
      <c r="G60" s="278"/>
      <c r="H60" s="278"/>
    </row>
    <row r="61" spans="1:8" x14ac:dyDescent="0.35">
      <c r="A61" s="255" t="s">
        <v>470</v>
      </c>
      <c r="B61" s="252" t="s">
        <v>733</v>
      </c>
      <c r="D61" s="252" t="s">
        <v>729</v>
      </c>
    </row>
    <row r="62" spans="1:8" x14ac:dyDescent="0.35">
      <c r="A62" s="276" t="s">
        <v>573</v>
      </c>
      <c r="B62" s="50" t="s">
        <v>560</v>
      </c>
      <c r="D62" s="237">
        <v>4.0000000000000001E-3</v>
      </c>
      <c r="F62" s="299"/>
    </row>
    <row r="63" spans="1:8" x14ac:dyDescent="0.35">
      <c r="A63" s="251" t="s">
        <v>407</v>
      </c>
      <c r="B63" s="250">
        <f>3000/8760</f>
        <v>0.34246575342465752</v>
      </c>
    </row>
    <row r="64" spans="1:8" x14ac:dyDescent="0.35">
      <c r="A64" s="251" t="s">
        <v>409</v>
      </c>
      <c r="B64" s="250">
        <f t="shared" ref="B64:B71" si="0">3000/8760</f>
        <v>0.34246575342465752</v>
      </c>
    </row>
    <row r="65" spans="1:8" x14ac:dyDescent="0.35">
      <c r="A65" s="251" t="s">
        <v>408</v>
      </c>
      <c r="B65" s="250">
        <f t="shared" si="0"/>
        <v>0.34246575342465752</v>
      </c>
    </row>
    <row r="66" spans="1:8" x14ac:dyDescent="0.35">
      <c r="A66" s="251" t="s">
        <v>410</v>
      </c>
      <c r="B66" s="250">
        <f t="shared" si="0"/>
        <v>0.34246575342465752</v>
      </c>
    </row>
    <row r="67" spans="1:8" x14ac:dyDescent="0.35">
      <c r="A67" s="251" t="s">
        <v>411</v>
      </c>
      <c r="B67" s="250">
        <f t="shared" si="0"/>
        <v>0.34246575342465752</v>
      </c>
    </row>
    <row r="68" spans="1:8" x14ac:dyDescent="0.35">
      <c r="A68" s="251" t="s">
        <v>412</v>
      </c>
      <c r="B68" s="250">
        <f t="shared" si="0"/>
        <v>0.34246575342465752</v>
      </c>
    </row>
    <row r="69" spans="1:8" x14ac:dyDescent="0.35">
      <c r="A69" s="251" t="s">
        <v>413</v>
      </c>
      <c r="B69" s="250">
        <f t="shared" si="0"/>
        <v>0.34246575342465752</v>
      </c>
    </row>
    <row r="70" spans="1:8" x14ac:dyDescent="0.35">
      <c r="A70" s="251" t="s">
        <v>574</v>
      </c>
      <c r="B70" s="250">
        <f t="shared" si="0"/>
        <v>0.34246575342465752</v>
      </c>
    </row>
    <row r="71" spans="1:8" x14ac:dyDescent="0.35">
      <c r="A71" s="251" t="s">
        <v>414</v>
      </c>
      <c r="B71" s="250">
        <f t="shared" si="0"/>
        <v>0.34246575342465752</v>
      </c>
    </row>
    <row r="72" spans="1:8" x14ac:dyDescent="0.35">
      <c r="A72" s="83"/>
    </row>
    <row r="73" spans="1:8" x14ac:dyDescent="0.35">
      <c r="A73" s="255" t="s">
        <v>575</v>
      </c>
      <c r="B73" s="252" t="s">
        <v>428</v>
      </c>
      <c r="C73" s="252" t="s">
        <v>494</v>
      </c>
      <c r="D73" s="252" t="s">
        <v>432</v>
      </c>
      <c r="E73" s="252" t="s">
        <v>433</v>
      </c>
      <c r="F73" s="252" t="s">
        <v>495</v>
      </c>
      <c r="G73" s="252" t="s">
        <v>496</v>
      </c>
      <c r="H73" s="252" t="s">
        <v>497</v>
      </c>
    </row>
    <row r="74" spans="1:8" x14ac:dyDescent="0.35">
      <c r="A74" t="s">
        <v>571</v>
      </c>
      <c r="B74" s="258" t="s">
        <v>307</v>
      </c>
      <c r="C74" s="258" t="s">
        <v>307</v>
      </c>
      <c r="D74" s="258" t="s">
        <v>307</v>
      </c>
      <c r="E74" s="258" t="s">
        <v>307</v>
      </c>
      <c r="F74" s="258" t="s">
        <v>307</v>
      </c>
      <c r="G74" s="258" t="s">
        <v>307</v>
      </c>
      <c r="H74" s="258" t="s">
        <v>307</v>
      </c>
    </row>
    <row r="75" spans="1:8" x14ac:dyDescent="0.35">
      <c r="A75" s="251" t="s">
        <v>702</v>
      </c>
      <c r="B75" s="250">
        <v>0.25</v>
      </c>
      <c r="C75" s="247">
        <v>0</v>
      </c>
      <c r="D75" s="250">
        <v>-1</v>
      </c>
      <c r="E75" s="247">
        <v>0</v>
      </c>
      <c r="F75" s="247">
        <v>0</v>
      </c>
      <c r="G75" s="247">
        <v>0</v>
      </c>
      <c r="H75" s="247">
        <v>0</v>
      </c>
    </row>
    <row r="76" spans="1:8" x14ac:dyDescent="0.35">
      <c r="A76" s="279"/>
      <c r="B76" s="280"/>
      <c r="C76" s="281"/>
      <c r="D76" s="280"/>
      <c r="E76" s="281"/>
      <c r="F76" s="281"/>
      <c r="G76" s="281"/>
      <c r="H76" s="281"/>
    </row>
    <row r="78" spans="1:8" x14ac:dyDescent="0.35">
      <c r="A78" s="272" t="s">
        <v>660</v>
      </c>
      <c r="B78" s="273" t="s">
        <v>663</v>
      </c>
      <c r="C78" s="273" t="s">
        <v>664</v>
      </c>
    </row>
    <row r="79" spans="1:8" x14ac:dyDescent="0.35">
      <c r="A79" s="53" t="s">
        <v>661</v>
      </c>
      <c r="B79" s="50" t="s">
        <v>560</v>
      </c>
      <c r="C79" s="50" t="s">
        <v>560</v>
      </c>
    </row>
    <row r="80" spans="1:8" x14ac:dyDescent="0.35">
      <c r="A80" s="251" t="s">
        <v>407</v>
      </c>
      <c r="B80" s="250">
        <f>[6]Vensim_export!AA2</f>
        <v>1.2510460264516978</v>
      </c>
      <c r="C80" s="250">
        <f>[6]Vensim_export!AA11</f>
        <v>2.0653249860780818</v>
      </c>
    </row>
    <row r="81" spans="1:4" x14ac:dyDescent="0.35">
      <c r="A81" s="251" t="s">
        <v>409</v>
      </c>
      <c r="B81" s="250">
        <f>[6]Vensim_export!AA3</f>
        <v>1.2299130255860267</v>
      </c>
      <c r="C81" s="250">
        <f>[6]Vensim_export!AA12</f>
        <v>2.0699999999999998</v>
      </c>
    </row>
    <row r="82" spans="1:4" x14ac:dyDescent="0.35">
      <c r="A82" s="251" t="s">
        <v>408</v>
      </c>
      <c r="B82" s="250">
        <f>[6]Vensim_export!AA4</f>
        <v>1.0878691457565646</v>
      </c>
      <c r="C82" s="250">
        <v>1.5</v>
      </c>
    </row>
    <row r="83" spans="1:4" x14ac:dyDescent="0.35">
      <c r="A83" s="251" t="s">
        <v>410</v>
      </c>
      <c r="B83" s="250">
        <f>[6]Vensim_export!AA5</f>
        <v>1.05</v>
      </c>
      <c r="C83" s="250">
        <f>[6]Vensim_export!AA14</f>
        <v>1.25</v>
      </c>
    </row>
    <row r="84" spans="1:4" x14ac:dyDescent="0.35">
      <c r="A84" s="251" t="s">
        <v>411</v>
      </c>
      <c r="B84" s="250">
        <f>[6]Vensim_export!AA6</f>
        <v>1.1073101745446521</v>
      </c>
      <c r="C84" s="250">
        <f>[6]Vensim_export!AA15</f>
        <v>1.25</v>
      </c>
    </row>
    <row r="85" spans="1:4" x14ac:dyDescent="0.35">
      <c r="A85" s="251" t="s">
        <v>412</v>
      </c>
      <c r="B85" s="250">
        <f>[6]Vensim_export!AA7</f>
        <v>1.0634835486246796</v>
      </c>
      <c r="C85" s="250">
        <f>[6]Vensim_export!AA16</f>
        <v>1.25</v>
      </c>
    </row>
    <row r="86" spans="1:4" x14ac:dyDescent="0.35">
      <c r="A86" s="251" t="s">
        <v>413</v>
      </c>
      <c r="B86" s="250">
        <f>[6]Vensim_export!AA8</f>
        <v>1.0782338028003779</v>
      </c>
      <c r="C86" s="250">
        <f>[6]Vensim_export!AA17</f>
        <v>2.583228730835827</v>
      </c>
    </row>
    <row r="87" spans="1:4" x14ac:dyDescent="0.35">
      <c r="A87" s="251" t="s">
        <v>662</v>
      </c>
      <c r="B87" s="250">
        <f>[6]Vensim_export!AA9</f>
        <v>1.0473766958778392</v>
      </c>
      <c r="C87" s="250">
        <f>[6]Vensim_export!AA18</f>
        <v>1.25</v>
      </c>
    </row>
    <row r="88" spans="1:4" x14ac:dyDescent="0.35">
      <c r="A88" s="251" t="s">
        <v>414</v>
      </c>
      <c r="B88" s="250">
        <f>[6]Vensim_export!AA10</f>
        <v>1.4395167140398055</v>
      </c>
      <c r="C88" s="250">
        <f>[6]Vensim_export!AA19</f>
        <v>1.25</v>
      </c>
    </row>
    <row r="91" spans="1:4" x14ac:dyDescent="0.35">
      <c r="A91" s="297" t="s">
        <v>703</v>
      </c>
      <c r="B91" s="357" t="s">
        <v>704</v>
      </c>
      <c r="C91" s="358"/>
      <c r="D91" s="358"/>
    </row>
    <row r="92" spans="1:4" x14ac:dyDescent="0.35">
      <c r="B92" s="255" t="s">
        <v>705</v>
      </c>
      <c r="C92" s="255" t="s">
        <v>706</v>
      </c>
      <c r="D92" s="255" t="s">
        <v>707</v>
      </c>
    </row>
    <row r="93" spans="1:4" x14ac:dyDescent="0.35">
      <c r="A93" s="251" t="s">
        <v>407</v>
      </c>
      <c r="B93">
        <v>0</v>
      </c>
      <c r="C93">
        <v>17</v>
      </c>
      <c r="D93">
        <v>3.19</v>
      </c>
    </row>
    <row r="94" spans="1:4" x14ac:dyDescent="0.35">
      <c r="A94" s="251" t="s">
        <v>409</v>
      </c>
      <c r="B94">
        <v>0</v>
      </c>
      <c r="C94">
        <v>17</v>
      </c>
      <c r="D94">
        <v>3.19</v>
      </c>
    </row>
    <row r="95" spans="1:4" x14ac:dyDescent="0.35">
      <c r="A95" s="251" t="s">
        <v>408</v>
      </c>
      <c r="B95">
        <v>0</v>
      </c>
      <c r="C95">
        <v>17</v>
      </c>
      <c r="D95">
        <v>3.19</v>
      </c>
    </row>
    <row r="96" spans="1:4" x14ac:dyDescent="0.35">
      <c r="A96" s="251" t="s">
        <v>410</v>
      </c>
      <c r="B96">
        <v>0</v>
      </c>
      <c r="C96">
        <v>17</v>
      </c>
      <c r="D96">
        <v>3.19</v>
      </c>
    </row>
    <row r="97" spans="1:5" x14ac:dyDescent="0.35">
      <c r="A97" s="251" t="s">
        <v>411</v>
      </c>
      <c r="B97">
        <v>0</v>
      </c>
      <c r="C97">
        <v>17</v>
      </c>
      <c r="D97">
        <v>3.19</v>
      </c>
    </row>
    <row r="98" spans="1:5" x14ac:dyDescent="0.35">
      <c r="A98" s="251" t="s">
        <v>412</v>
      </c>
      <c r="B98">
        <v>0</v>
      </c>
      <c r="C98">
        <v>17</v>
      </c>
      <c r="D98">
        <v>3.19</v>
      </c>
    </row>
    <row r="99" spans="1:5" x14ac:dyDescent="0.35">
      <c r="A99" s="251" t="s">
        <v>413</v>
      </c>
      <c r="B99">
        <v>0</v>
      </c>
      <c r="C99">
        <v>17</v>
      </c>
      <c r="D99">
        <v>3.19</v>
      </c>
    </row>
    <row r="100" spans="1:5" x14ac:dyDescent="0.35">
      <c r="A100" s="251" t="s">
        <v>662</v>
      </c>
      <c r="B100">
        <v>0</v>
      </c>
      <c r="C100">
        <v>17</v>
      </c>
      <c r="D100">
        <v>3.19</v>
      </c>
    </row>
    <row r="101" spans="1:5" x14ac:dyDescent="0.35">
      <c r="A101" s="251" t="s">
        <v>414</v>
      </c>
      <c r="B101">
        <v>0</v>
      </c>
      <c r="C101">
        <v>17</v>
      </c>
      <c r="D101">
        <v>3.19</v>
      </c>
    </row>
    <row r="102" spans="1:5" x14ac:dyDescent="0.35">
      <c r="B102" s="358" t="s">
        <v>708</v>
      </c>
      <c r="C102" s="358"/>
      <c r="D102" s="358"/>
    </row>
    <row r="103" spans="1:5" x14ac:dyDescent="0.35">
      <c r="B103" s="255" t="s">
        <v>705</v>
      </c>
      <c r="C103" s="255" t="s">
        <v>706</v>
      </c>
      <c r="D103" s="255" t="s">
        <v>707</v>
      </c>
    </row>
    <row r="104" spans="1:5" x14ac:dyDescent="0.35">
      <c r="A104" s="251" t="s">
        <v>407</v>
      </c>
      <c r="B104">
        <v>0</v>
      </c>
      <c r="C104">
        <v>30</v>
      </c>
      <c r="D104">
        <v>1</v>
      </c>
      <c r="E104" s="29" t="s">
        <v>734</v>
      </c>
    </row>
    <row r="105" spans="1:5" x14ac:dyDescent="0.35">
      <c r="A105" s="251" t="s">
        <v>409</v>
      </c>
      <c r="B105">
        <v>0</v>
      </c>
      <c r="C105">
        <v>30</v>
      </c>
      <c r="D105">
        <v>1</v>
      </c>
    </row>
    <row r="106" spans="1:5" x14ac:dyDescent="0.35">
      <c r="A106" s="251" t="s">
        <v>408</v>
      </c>
      <c r="B106">
        <v>0</v>
      </c>
      <c r="C106">
        <v>30</v>
      </c>
      <c r="D106">
        <v>1</v>
      </c>
    </row>
    <row r="107" spans="1:5" x14ac:dyDescent="0.35">
      <c r="A107" s="251" t="s">
        <v>410</v>
      </c>
      <c r="B107">
        <v>0</v>
      </c>
      <c r="C107">
        <v>30</v>
      </c>
      <c r="D107">
        <v>1</v>
      </c>
    </row>
    <row r="108" spans="1:5" x14ac:dyDescent="0.35">
      <c r="A108" s="251" t="s">
        <v>411</v>
      </c>
      <c r="B108">
        <v>0</v>
      </c>
      <c r="C108">
        <v>30</v>
      </c>
      <c r="D108">
        <v>1</v>
      </c>
    </row>
    <row r="109" spans="1:5" x14ac:dyDescent="0.35">
      <c r="A109" s="251" t="s">
        <v>412</v>
      </c>
      <c r="B109">
        <v>0</v>
      </c>
      <c r="C109">
        <v>30</v>
      </c>
      <c r="D109">
        <v>1</v>
      </c>
    </row>
    <row r="110" spans="1:5" x14ac:dyDescent="0.35">
      <c r="A110" s="251" t="s">
        <v>413</v>
      </c>
      <c r="B110">
        <v>0</v>
      </c>
      <c r="C110">
        <v>30</v>
      </c>
      <c r="D110">
        <v>1</v>
      </c>
    </row>
    <row r="111" spans="1:5" x14ac:dyDescent="0.35">
      <c r="A111" s="251" t="s">
        <v>662</v>
      </c>
      <c r="B111">
        <v>0</v>
      </c>
      <c r="C111">
        <v>30</v>
      </c>
      <c r="D111">
        <v>1</v>
      </c>
    </row>
    <row r="112" spans="1:5" x14ac:dyDescent="0.35">
      <c r="A112" s="251" t="s">
        <v>414</v>
      </c>
      <c r="B112">
        <v>0</v>
      </c>
      <c r="C112">
        <v>30</v>
      </c>
      <c r="D112">
        <v>1</v>
      </c>
    </row>
    <row r="114" spans="1:107" x14ac:dyDescent="0.35">
      <c r="A114" s="297" t="s">
        <v>709</v>
      </c>
    </row>
    <row r="115" spans="1:107" x14ac:dyDescent="0.35">
      <c r="A115" s="251" t="s">
        <v>710</v>
      </c>
      <c r="B115" s="251" t="s">
        <v>711</v>
      </c>
      <c r="C115" s="251" t="s">
        <v>712</v>
      </c>
      <c r="D115" s="251" t="s">
        <v>713</v>
      </c>
      <c r="E115" s="251" t="s">
        <v>714</v>
      </c>
      <c r="F115" s="251" t="s">
        <v>715</v>
      </c>
      <c r="G115" s="251" t="s">
        <v>716</v>
      </c>
      <c r="H115" s="251" t="s">
        <v>717</v>
      </c>
      <c r="I115" s="251" t="s">
        <v>718</v>
      </c>
      <c r="J115" s="251" t="s">
        <v>719</v>
      </c>
      <c r="K115" s="251" t="s">
        <v>720</v>
      </c>
      <c r="L115" s="251" t="s">
        <v>721</v>
      </c>
      <c r="M115" s="251" t="s">
        <v>722</v>
      </c>
    </row>
    <row r="116" spans="1:107" x14ac:dyDescent="0.35">
      <c r="A116" s="298">
        <v>1.141552511</v>
      </c>
      <c r="B116" s="298">
        <v>1.141552511</v>
      </c>
      <c r="C116" s="298">
        <v>1.141552511</v>
      </c>
      <c r="D116" s="298">
        <v>1.141552511</v>
      </c>
      <c r="E116" s="298">
        <v>0.01</v>
      </c>
      <c r="F116" s="298">
        <v>1.141552511</v>
      </c>
      <c r="G116" s="298">
        <v>1.141552511</v>
      </c>
      <c r="H116" s="298">
        <v>1.141552511</v>
      </c>
      <c r="I116" s="298">
        <v>0.01</v>
      </c>
      <c r="J116" s="298">
        <v>25.9</v>
      </c>
      <c r="K116">
        <v>7.3199904549999997E-3</v>
      </c>
      <c r="L116" s="298">
        <v>1.141552511</v>
      </c>
      <c r="M116" s="298">
        <v>0.01</v>
      </c>
    </row>
    <row r="119" spans="1:107" x14ac:dyDescent="0.35">
      <c r="A119" s="251" t="s">
        <v>730</v>
      </c>
      <c r="B119" s="250">
        <v>1.1000000000000001</v>
      </c>
    </row>
    <row r="122" spans="1:107" ht="58" x14ac:dyDescent="0.35">
      <c r="A122" s="300" t="s">
        <v>876</v>
      </c>
      <c r="B122" t="s">
        <v>776</v>
      </c>
      <c r="C122" t="s">
        <v>777</v>
      </c>
      <c r="D122" t="s">
        <v>778</v>
      </c>
      <c r="E122" t="s">
        <v>779</v>
      </c>
      <c r="F122" t="s">
        <v>780</v>
      </c>
      <c r="G122" t="s">
        <v>781</v>
      </c>
      <c r="H122" t="s">
        <v>782</v>
      </c>
      <c r="I122" t="s">
        <v>783</v>
      </c>
      <c r="J122" t="s">
        <v>784</v>
      </c>
      <c r="K122" t="s">
        <v>785</v>
      </c>
      <c r="L122" t="s">
        <v>786</v>
      </c>
      <c r="M122" t="s">
        <v>787</v>
      </c>
      <c r="N122" t="s">
        <v>788</v>
      </c>
      <c r="O122" t="s">
        <v>789</v>
      </c>
      <c r="P122" t="s">
        <v>790</v>
      </c>
      <c r="Q122" t="s">
        <v>791</v>
      </c>
      <c r="R122" t="s">
        <v>792</v>
      </c>
      <c r="S122" t="s">
        <v>793</v>
      </c>
      <c r="T122" t="s">
        <v>794</v>
      </c>
      <c r="U122" t="s">
        <v>795</v>
      </c>
      <c r="V122" t="s">
        <v>796</v>
      </c>
      <c r="W122" t="s">
        <v>797</v>
      </c>
      <c r="X122" t="s">
        <v>798</v>
      </c>
      <c r="Y122" t="s">
        <v>799</v>
      </c>
      <c r="Z122" t="s">
        <v>800</v>
      </c>
      <c r="AA122" t="s">
        <v>801</v>
      </c>
      <c r="AB122" t="s">
        <v>802</v>
      </c>
      <c r="AC122" t="s">
        <v>803</v>
      </c>
      <c r="AD122" t="s">
        <v>804</v>
      </c>
      <c r="AE122" t="s">
        <v>805</v>
      </c>
      <c r="AF122" t="s">
        <v>806</v>
      </c>
      <c r="AG122" t="s">
        <v>807</v>
      </c>
      <c r="AH122" t="s">
        <v>808</v>
      </c>
      <c r="AI122" t="s">
        <v>809</v>
      </c>
      <c r="AJ122" t="s">
        <v>810</v>
      </c>
      <c r="AK122" t="s">
        <v>811</v>
      </c>
      <c r="AL122" t="s">
        <v>812</v>
      </c>
      <c r="AM122" t="s">
        <v>813</v>
      </c>
      <c r="AN122" t="s">
        <v>814</v>
      </c>
      <c r="AO122" t="s">
        <v>815</v>
      </c>
      <c r="AP122" t="s">
        <v>816</v>
      </c>
      <c r="AQ122" t="s">
        <v>817</v>
      </c>
      <c r="AR122" t="s">
        <v>818</v>
      </c>
      <c r="AS122" t="s">
        <v>819</v>
      </c>
      <c r="AT122" t="s">
        <v>820</v>
      </c>
      <c r="AU122" t="s">
        <v>821</v>
      </c>
      <c r="AV122" t="s">
        <v>822</v>
      </c>
      <c r="AW122" t="s">
        <v>823</v>
      </c>
      <c r="AX122" t="s">
        <v>824</v>
      </c>
      <c r="AY122" t="s">
        <v>825</v>
      </c>
      <c r="AZ122" t="s">
        <v>826</v>
      </c>
      <c r="BA122" t="s">
        <v>827</v>
      </c>
      <c r="BB122" t="s">
        <v>828</v>
      </c>
      <c r="BC122" t="s">
        <v>829</v>
      </c>
      <c r="BD122" t="s">
        <v>830</v>
      </c>
      <c r="BE122" t="s">
        <v>831</v>
      </c>
      <c r="BF122" t="s">
        <v>832</v>
      </c>
      <c r="BG122" t="s">
        <v>833</v>
      </c>
      <c r="BH122" t="s">
        <v>834</v>
      </c>
      <c r="BI122" t="s">
        <v>835</v>
      </c>
      <c r="BJ122" t="s">
        <v>836</v>
      </c>
      <c r="BK122" t="s">
        <v>837</v>
      </c>
      <c r="BL122" t="s">
        <v>838</v>
      </c>
      <c r="BM122" t="s">
        <v>839</v>
      </c>
      <c r="BN122" t="s">
        <v>840</v>
      </c>
      <c r="BO122" t="s">
        <v>841</v>
      </c>
      <c r="BP122" t="s">
        <v>842</v>
      </c>
      <c r="BQ122" t="s">
        <v>843</v>
      </c>
      <c r="BR122" t="s">
        <v>844</v>
      </c>
      <c r="BS122" t="s">
        <v>845</v>
      </c>
      <c r="BT122" t="s">
        <v>846</v>
      </c>
      <c r="BU122" t="s">
        <v>847</v>
      </c>
      <c r="BV122" t="s">
        <v>848</v>
      </c>
      <c r="BW122" t="s">
        <v>849</v>
      </c>
      <c r="BX122" t="s">
        <v>850</v>
      </c>
      <c r="BY122" t="s">
        <v>851</v>
      </c>
      <c r="BZ122" t="s">
        <v>852</v>
      </c>
      <c r="CA122" t="s">
        <v>853</v>
      </c>
      <c r="CB122" t="s">
        <v>854</v>
      </c>
      <c r="CC122" t="s">
        <v>855</v>
      </c>
      <c r="CD122" t="s">
        <v>856</v>
      </c>
      <c r="CE122" t="s">
        <v>857</v>
      </c>
      <c r="CF122" t="s">
        <v>858</v>
      </c>
      <c r="CG122" t="s">
        <v>859</v>
      </c>
      <c r="CH122" t="s">
        <v>860</v>
      </c>
      <c r="CI122" t="s">
        <v>861</v>
      </c>
      <c r="CJ122" t="s">
        <v>862</v>
      </c>
      <c r="CK122" t="s">
        <v>863</v>
      </c>
      <c r="CL122" t="s">
        <v>864</v>
      </c>
      <c r="CM122" t="s">
        <v>865</v>
      </c>
      <c r="CN122" t="s">
        <v>866</v>
      </c>
      <c r="CO122" t="s">
        <v>867</v>
      </c>
      <c r="CP122" t="s">
        <v>868</v>
      </c>
      <c r="CQ122" t="s">
        <v>869</v>
      </c>
      <c r="CR122" t="s">
        <v>870</v>
      </c>
      <c r="CS122" t="s">
        <v>871</v>
      </c>
      <c r="CT122" t="s">
        <v>872</v>
      </c>
      <c r="CU122" t="s">
        <v>873</v>
      </c>
      <c r="CV122" t="s">
        <v>874</v>
      </c>
      <c r="CW122" t="s">
        <v>875</v>
      </c>
      <c r="CY122" s="301" t="s">
        <v>901</v>
      </c>
      <c r="CZ122" s="301" t="s">
        <v>877</v>
      </c>
      <c r="DA122" s="301" t="s">
        <v>894</v>
      </c>
      <c r="DB122" s="302" t="s">
        <v>895</v>
      </c>
      <c r="DC122" s="301" t="s">
        <v>898</v>
      </c>
    </row>
    <row r="123" spans="1:107" x14ac:dyDescent="0.35">
      <c r="A123" t="s">
        <v>735</v>
      </c>
      <c r="B123">
        <v>0</v>
      </c>
      <c r="C123">
        <v>0</v>
      </c>
      <c r="D123">
        <v>0</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c r="Z123">
        <v>1</v>
      </c>
      <c r="AA123">
        <v>1</v>
      </c>
      <c r="AB123">
        <v>1</v>
      </c>
      <c r="AC123">
        <v>1</v>
      </c>
      <c r="AD123">
        <v>-1</v>
      </c>
      <c r="AE123">
        <v>-1</v>
      </c>
      <c r="AF123">
        <v>-1</v>
      </c>
      <c r="AG123">
        <v>-1</v>
      </c>
      <c r="AH123">
        <v>-1</v>
      </c>
      <c r="AI123">
        <v>-1</v>
      </c>
      <c r="AJ123">
        <v>-1</v>
      </c>
      <c r="AK123">
        <v>-1</v>
      </c>
      <c r="AL123">
        <v>-1</v>
      </c>
      <c r="AM123">
        <v>-1</v>
      </c>
      <c r="AN123">
        <v>-1</v>
      </c>
      <c r="AO123">
        <v>-1</v>
      </c>
      <c r="AP123">
        <v>-1</v>
      </c>
      <c r="AQ123">
        <v>-1</v>
      </c>
      <c r="AR123">
        <v>-1</v>
      </c>
      <c r="AS123">
        <v>-1</v>
      </c>
      <c r="AT123">
        <v>-1</v>
      </c>
      <c r="AU123">
        <v>-1</v>
      </c>
      <c r="AV123">
        <v>-1</v>
      </c>
      <c r="AW123">
        <v>-1</v>
      </c>
      <c r="AX123">
        <v>-1</v>
      </c>
      <c r="AY123">
        <v>-1</v>
      </c>
      <c r="AZ123">
        <v>-1</v>
      </c>
      <c r="BA123">
        <v>-1</v>
      </c>
      <c r="BB123">
        <v>-1</v>
      </c>
      <c r="BC123">
        <v>-1</v>
      </c>
      <c r="BD123">
        <v>-1</v>
      </c>
      <c r="BE123">
        <v>-1</v>
      </c>
      <c r="BF123">
        <v>-1</v>
      </c>
      <c r="BG123">
        <v>-1</v>
      </c>
      <c r="BH123">
        <v>-1</v>
      </c>
      <c r="BI123">
        <v>-1</v>
      </c>
      <c r="BJ123">
        <v>-1</v>
      </c>
      <c r="BK123">
        <v>-1</v>
      </c>
      <c r="BL123">
        <v>-1</v>
      </c>
      <c r="BM123">
        <v>-1</v>
      </c>
      <c r="BN123">
        <v>-1</v>
      </c>
      <c r="BO123">
        <v>-1</v>
      </c>
      <c r="BP123">
        <v>-1</v>
      </c>
      <c r="BQ123">
        <v>-1</v>
      </c>
      <c r="BR123">
        <v>-1</v>
      </c>
      <c r="BS123">
        <v>-1</v>
      </c>
      <c r="BT123">
        <v>-1</v>
      </c>
      <c r="BU123">
        <v>-1</v>
      </c>
      <c r="BV123">
        <v>-1</v>
      </c>
      <c r="BW123">
        <v>-1</v>
      </c>
      <c r="BX123">
        <v>-1</v>
      </c>
      <c r="BY123">
        <v>-1</v>
      </c>
      <c r="BZ123">
        <v>-1</v>
      </c>
      <c r="CA123">
        <v>-1</v>
      </c>
      <c r="CB123">
        <v>-1</v>
      </c>
      <c r="CC123">
        <v>-1</v>
      </c>
      <c r="CD123">
        <v>-1</v>
      </c>
      <c r="CE123">
        <v>-1</v>
      </c>
      <c r="CF123">
        <v>-1</v>
      </c>
      <c r="CG123">
        <v>-1</v>
      </c>
      <c r="CH123">
        <v>-1</v>
      </c>
      <c r="CI123">
        <v>-1</v>
      </c>
      <c r="CJ123">
        <v>-1</v>
      </c>
      <c r="CK123">
        <v>-1</v>
      </c>
      <c r="CL123">
        <v>-1</v>
      </c>
      <c r="CM123">
        <v>-1</v>
      </c>
      <c r="CN123">
        <v>-1</v>
      </c>
      <c r="CO123">
        <v>-1</v>
      </c>
      <c r="CP123">
        <v>-1</v>
      </c>
      <c r="CQ123">
        <v>-1</v>
      </c>
      <c r="CR123">
        <v>-1</v>
      </c>
      <c r="CS123">
        <v>-1</v>
      </c>
      <c r="CT123">
        <v>-1</v>
      </c>
      <c r="CU123">
        <v>-1</v>
      </c>
      <c r="CV123">
        <v>-1</v>
      </c>
      <c r="CW123">
        <v>-1</v>
      </c>
      <c r="CX123" s="141"/>
      <c r="CY123">
        <v>2.5</v>
      </c>
      <c r="CZ123">
        <v>25</v>
      </c>
      <c r="DA123" t="s">
        <v>735</v>
      </c>
      <c r="DB123" t="s">
        <v>879</v>
      </c>
    </row>
    <row r="124" spans="1:107" x14ac:dyDescent="0.35">
      <c r="A124" t="s">
        <v>736</v>
      </c>
      <c r="B124">
        <v>0</v>
      </c>
      <c r="C124">
        <v>0</v>
      </c>
      <c r="D124">
        <v>0</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c r="Z124">
        <v>1</v>
      </c>
      <c r="AA124">
        <v>1</v>
      </c>
      <c r="AB124">
        <v>1</v>
      </c>
      <c r="AC124">
        <v>1</v>
      </c>
      <c r="AD124">
        <v>-1</v>
      </c>
      <c r="AE124">
        <v>-1</v>
      </c>
      <c r="AF124">
        <v>-1</v>
      </c>
      <c r="AG124">
        <v>-1</v>
      </c>
      <c r="AH124">
        <v>-1</v>
      </c>
      <c r="AI124">
        <v>-1</v>
      </c>
      <c r="AJ124">
        <v>-1</v>
      </c>
      <c r="AK124">
        <v>-1</v>
      </c>
      <c r="AL124">
        <v>-1</v>
      </c>
      <c r="AM124">
        <v>-1</v>
      </c>
      <c r="AN124">
        <v>-1</v>
      </c>
      <c r="AO124">
        <v>-1</v>
      </c>
      <c r="AP124">
        <v>-1</v>
      </c>
      <c r="AQ124">
        <v>-1</v>
      </c>
      <c r="AR124">
        <v>-1</v>
      </c>
      <c r="AS124">
        <v>-1</v>
      </c>
      <c r="AT124">
        <v>-1</v>
      </c>
      <c r="AU124">
        <v>-1</v>
      </c>
      <c r="AV124">
        <v>-1</v>
      </c>
      <c r="AW124">
        <v>-1</v>
      </c>
      <c r="AX124">
        <v>-1</v>
      </c>
      <c r="AY124">
        <v>-1</v>
      </c>
      <c r="AZ124">
        <v>-1</v>
      </c>
      <c r="BA124">
        <v>-1</v>
      </c>
      <c r="BB124">
        <v>-1</v>
      </c>
      <c r="BC124">
        <v>-1</v>
      </c>
      <c r="BD124">
        <v>-1</v>
      </c>
      <c r="BE124">
        <v>-1</v>
      </c>
      <c r="BF124">
        <v>-1</v>
      </c>
      <c r="BG124">
        <v>-1</v>
      </c>
      <c r="BH124">
        <v>-1</v>
      </c>
      <c r="BI124">
        <v>-1</v>
      </c>
      <c r="BJ124">
        <v>-1</v>
      </c>
      <c r="BK124">
        <v>-1</v>
      </c>
      <c r="BL124">
        <v>-1</v>
      </c>
      <c r="BM124">
        <v>-1</v>
      </c>
      <c r="BN124">
        <v>-1</v>
      </c>
      <c r="BO124">
        <v>-1</v>
      </c>
      <c r="BP124">
        <v>-1</v>
      </c>
      <c r="BQ124">
        <v>-1</v>
      </c>
      <c r="BR124">
        <v>-1</v>
      </c>
      <c r="BS124">
        <v>-1</v>
      </c>
      <c r="BT124">
        <v>-1</v>
      </c>
      <c r="BU124">
        <v>-1</v>
      </c>
      <c r="BV124">
        <v>-1</v>
      </c>
      <c r="BW124">
        <v>-1</v>
      </c>
      <c r="BX124">
        <v>-1</v>
      </c>
      <c r="BY124">
        <v>-1</v>
      </c>
      <c r="BZ124">
        <v>-1</v>
      </c>
      <c r="CA124">
        <v>-1</v>
      </c>
      <c r="CB124">
        <v>-1</v>
      </c>
      <c r="CC124">
        <v>-1</v>
      </c>
      <c r="CD124">
        <v>-1</v>
      </c>
      <c r="CE124">
        <v>-1</v>
      </c>
      <c r="CF124">
        <v>-1</v>
      </c>
      <c r="CG124">
        <v>-1</v>
      </c>
      <c r="CH124">
        <v>-1</v>
      </c>
      <c r="CI124">
        <v>-1</v>
      </c>
      <c r="CJ124">
        <v>-1</v>
      </c>
      <c r="CK124">
        <v>-1</v>
      </c>
      <c r="CL124">
        <v>-1</v>
      </c>
      <c r="CM124">
        <v>-1</v>
      </c>
      <c r="CN124">
        <v>-1</v>
      </c>
      <c r="CO124">
        <v>-1</v>
      </c>
      <c r="CP124">
        <v>-1</v>
      </c>
      <c r="CQ124">
        <v>-1</v>
      </c>
      <c r="CR124">
        <v>-1</v>
      </c>
      <c r="CS124">
        <v>-1</v>
      </c>
      <c r="CT124">
        <v>-1</v>
      </c>
      <c r="CU124">
        <v>-1</v>
      </c>
      <c r="CV124">
        <v>-1</v>
      </c>
      <c r="CW124">
        <v>-1</v>
      </c>
      <c r="CX124" s="141"/>
      <c r="CY124">
        <v>2.5</v>
      </c>
      <c r="CZ124">
        <v>25</v>
      </c>
      <c r="DA124" t="s">
        <v>736</v>
      </c>
      <c r="DB124" t="s">
        <v>879</v>
      </c>
    </row>
    <row r="125" spans="1:107" x14ac:dyDescent="0.35">
      <c r="A125" t="s">
        <v>737</v>
      </c>
      <c r="B125">
        <v>0</v>
      </c>
      <c r="C125">
        <v>0</v>
      </c>
      <c r="D125">
        <v>0</v>
      </c>
      <c r="E125">
        <v>0</v>
      </c>
      <c r="F125">
        <v>0</v>
      </c>
      <c r="G125">
        <v>1</v>
      </c>
      <c r="H125">
        <v>1</v>
      </c>
      <c r="I125">
        <v>1</v>
      </c>
      <c r="J125">
        <v>1</v>
      </c>
      <c r="K125">
        <v>1</v>
      </c>
      <c r="L125">
        <v>1</v>
      </c>
      <c r="M125">
        <v>1</v>
      </c>
      <c r="N125">
        <v>1</v>
      </c>
      <c r="O125">
        <v>1</v>
      </c>
      <c r="P125">
        <v>1</v>
      </c>
      <c r="Q125">
        <v>1</v>
      </c>
      <c r="R125">
        <v>1</v>
      </c>
      <c r="S125">
        <v>1</v>
      </c>
      <c r="T125">
        <v>1</v>
      </c>
      <c r="U125">
        <v>1</v>
      </c>
      <c r="V125">
        <v>1</v>
      </c>
      <c r="W125">
        <v>1</v>
      </c>
      <c r="X125">
        <v>1</v>
      </c>
      <c r="Y125">
        <v>1</v>
      </c>
      <c r="Z125">
        <v>1</v>
      </c>
      <c r="AA125">
        <v>1</v>
      </c>
      <c r="AB125">
        <v>1</v>
      </c>
      <c r="AC125">
        <v>1</v>
      </c>
      <c r="AD125">
        <v>1</v>
      </c>
      <c r="AE125">
        <v>1</v>
      </c>
      <c r="AF125">
        <v>-1</v>
      </c>
      <c r="AG125">
        <v>-1</v>
      </c>
      <c r="AH125">
        <v>-1</v>
      </c>
      <c r="AI125">
        <v>-1</v>
      </c>
      <c r="AJ125">
        <v>-1</v>
      </c>
      <c r="AK125">
        <v>-1</v>
      </c>
      <c r="AL125">
        <v>-1</v>
      </c>
      <c r="AM125">
        <v>-1</v>
      </c>
      <c r="AN125">
        <v>-1</v>
      </c>
      <c r="AO125">
        <v>-1</v>
      </c>
      <c r="AP125">
        <v>-1</v>
      </c>
      <c r="AQ125">
        <v>-1</v>
      </c>
      <c r="AR125">
        <v>-1</v>
      </c>
      <c r="AS125">
        <v>-1</v>
      </c>
      <c r="AT125">
        <v>-1</v>
      </c>
      <c r="AU125">
        <v>-1</v>
      </c>
      <c r="AV125">
        <v>-1</v>
      </c>
      <c r="AW125">
        <v>-1</v>
      </c>
      <c r="AX125">
        <v>-1</v>
      </c>
      <c r="AY125">
        <v>-1</v>
      </c>
      <c r="AZ125">
        <v>-1</v>
      </c>
      <c r="BA125">
        <v>-1</v>
      </c>
      <c r="BB125">
        <v>-1</v>
      </c>
      <c r="BC125">
        <v>-1</v>
      </c>
      <c r="BD125">
        <v>-1</v>
      </c>
      <c r="BE125">
        <v>-1</v>
      </c>
      <c r="BF125">
        <v>-1</v>
      </c>
      <c r="BG125">
        <v>-1</v>
      </c>
      <c r="BH125">
        <v>-1</v>
      </c>
      <c r="BI125">
        <v>-1</v>
      </c>
      <c r="BJ125">
        <v>-1</v>
      </c>
      <c r="BK125">
        <v>-1</v>
      </c>
      <c r="BL125">
        <v>-1</v>
      </c>
      <c r="BM125">
        <v>-1</v>
      </c>
      <c r="BN125">
        <v>-1</v>
      </c>
      <c r="BO125">
        <v>-1</v>
      </c>
      <c r="BP125">
        <v>-1</v>
      </c>
      <c r="BQ125">
        <v>-1</v>
      </c>
      <c r="BR125">
        <v>-1</v>
      </c>
      <c r="BS125">
        <v>-1</v>
      </c>
      <c r="BT125">
        <v>-1</v>
      </c>
      <c r="BU125">
        <v>-1</v>
      </c>
      <c r="BV125">
        <v>-1</v>
      </c>
      <c r="BW125">
        <v>-1</v>
      </c>
      <c r="BX125">
        <v>-1</v>
      </c>
      <c r="BY125">
        <v>-1</v>
      </c>
      <c r="BZ125">
        <v>-1</v>
      </c>
      <c r="CA125">
        <v>-1</v>
      </c>
      <c r="CB125">
        <v>-1</v>
      </c>
      <c r="CC125">
        <v>-1</v>
      </c>
      <c r="CD125">
        <v>-1</v>
      </c>
      <c r="CE125">
        <v>-1</v>
      </c>
      <c r="CF125">
        <v>-1</v>
      </c>
      <c r="CG125">
        <v>-1</v>
      </c>
      <c r="CH125">
        <v>-1</v>
      </c>
      <c r="CI125">
        <v>-1</v>
      </c>
      <c r="CJ125">
        <v>-1</v>
      </c>
      <c r="CK125">
        <v>-1</v>
      </c>
      <c r="CL125">
        <v>-1</v>
      </c>
      <c r="CM125">
        <v>-1</v>
      </c>
      <c r="CN125">
        <v>-1</v>
      </c>
      <c r="CO125">
        <v>-1</v>
      </c>
      <c r="CP125">
        <v>-1</v>
      </c>
      <c r="CQ125">
        <v>-1</v>
      </c>
      <c r="CR125">
        <v>-1</v>
      </c>
      <c r="CS125">
        <v>-1</v>
      </c>
      <c r="CT125">
        <v>-1</v>
      </c>
      <c r="CU125">
        <v>-1</v>
      </c>
      <c r="CV125">
        <v>-1</v>
      </c>
      <c r="CW125">
        <v>-1</v>
      </c>
      <c r="CX125" s="141"/>
      <c r="CY125">
        <v>4.5</v>
      </c>
      <c r="CZ125">
        <v>25</v>
      </c>
      <c r="DA125" t="s">
        <v>737</v>
      </c>
      <c r="DB125" s="32" t="s">
        <v>889</v>
      </c>
    </row>
    <row r="126" spans="1:107" x14ac:dyDescent="0.35">
      <c r="A126" t="s">
        <v>738</v>
      </c>
      <c r="B126">
        <v>0</v>
      </c>
      <c r="C126">
        <v>0</v>
      </c>
      <c r="D126">
        <v>0</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c r="Z126">
        <v>1</v>
      </c>
      <c r="AA126">
        <v>1</v>
      </c>
      <c r="AB126">
        <v>1</v>
      </c>
      <c r="AC126">
        <v>1</v>
      </c>
      <c r="AD126">
        <v>-1</v>
      </c>
      <c r="AE126">
        <v>-1</v>
      </c>
      <c r="AF126">
        <v>-1</v>
      </c>
      <c r="AG126">
        <v>-1</v>
      </c>
      <c r="AH126">
        <v>-1</v>
      </c>
      <c r="AI126">
        <v>-1</v>
      </c>
      <c r="AJ126">
        <v>-1</v>
      </c>
      <c r="AK126">
        <v>-1</v>
      </c>
      <c r="AL126">
        <v>-1</v>
      </c>
      <c r="AM126">
        <v>-1</v>
      </c>
      <c r="AN126">
        <v>-1</v>
      </c>
      <c r="AO126">
        <v>-1</v>
      </c>
      <c r="AP126">
        <v>-1</v>
      </c>
      <c r="AQ126">
        <v>-1</v>
      </c>
      <c r="AR126">
        <v>-1</v>
      </c>
      <c r="AS126">
        <v>-1</v>
      </c>
      <c r="AT126">
        <v>-1</v>
      </c>
      <c r="AU126">
        <v>-1</v>
      </c>
      <c r="AV126">
        <v>-1</v>
      </c>
      <c r="AW126">
        <v>-1</v>
      </c>
      <c r="AX126">
        <v>-1</v>
      </c>
      <c r="AY126">
        <v>-1</v>
      </c>
      <c r="AZ126">
        <v>-1</v>
      </c>
      <c r="BA126">
        <v>-1</v>
      </c>
      <c r="BB126">
        <v>-1</v>
      </c>
      <c r="BC126">
        <v>-1</v>
      </c>
      <c r="BD126">
        <v>-1</v>
      </c>
      <c r="BE126">
        <v>-1</v>
      </c>
      <c r="BF126">
        <v>-1</v>
      </c>
      <c r="BG126">
        <v>-1</v>
      </c>
      <c r="BH126">
        <v>-1</v>
      </c>
      <c r="BI126">
        <v>-1</v>
      </c>
      <c r="BJ126">
        <v>-1</v>
      </c>
      <c r="BK126">
        <v>-1</v>
      </c>
      <c r="BL126">
        <v>-1</v>
      </c>
      <c r="BM126">
        <v>-1</v>
      </c>
      <c r="BN126">
        <v>-1</v>
      </c>
      <c r="BO126">
        <v>-1</v>
      </c>
      <c r="BP126">
        <v>-1</v>
      </c>
      <c r="BQ126">
        <v>-1</v>
      </c>
      <c r="BR126">
        <v>-1</v>
      </c>
      <c r="BS126">
        <v>-1</v>
      </c>
      <c r="BT126">
        <v>-1</v>
      </c>
      <c r="BU126">
        <v>-1</v>
      </c>
      <c r="BV126">
        <v>-1</v>
      </c>
      <c r="BW126">
        <v>-1</v>
      </c>
      <c r="BX126">
        <v>-1</v>
      </c>
      <c r="BY126">
        <v>-1</v>
      </c>
      <c r="BZ126">
        <v>-1</v>
      </c>
      <c r="CA126">
        <v>-1</v>
      </c>
      <c r="CB126">
        <v>-1</v>
      </c>
      <c r="CC126">
        <v>-1</v>
      </c>
      <c r="CD126">
        <v>-1</v>
      </c>
      <c r="CE126">
        <v>-1</v>
      </c>
      <c r="CF126">
        <v>-1</v>
      </c>
      <c r="CG126">
        <v>-1</v>
      </c>
      <c r="CH126">
        <v>-1</v>
      </c>
      <c r="CI126">
        <v>-1</v>
      </c>
      <c r="CJ126">
        <v>-1</v>
      </c>
      <c r="CK126">
        <v>-1</v>
      </c>
      <c r="CL126">
        <v>-1</v>
      </c>
      <c r="CM126">
        <v>-1</v>
      </c>
      <c r="CN126">
        <v>-1</v>
      </c>
      <c r="CO126">
        <v>-1</v>
      </c>
      <c r="CP126">
        <v>-1</v>
      </c>
      <c r="CQ126">
        <v>-1</v>
      </c>
      <c r="CR126">
        <v>-1</v>
      </c>
      <c r="CS126">
        <v>-1</v>
      </c>
      <c r="CT126">
        <v>-1</v>
      </c>
      <c r="CU126">
        <v>-1</v>
      </c>
      <c r="CV126">
        <v>-1</v>
      </c>
      <c r="CW126">
        <v>-1</v>
      </c>
      <c r="CX126" s="141"/>
      <c r="CY126">
        <v>2.5</v>
      </c>
      <c r="CZ126">
        <v>25</v>
      </c>
      <c r="DA126" t="s">
        <v>738</v>
      </c>
      <c r="DB126" s="29" t="s">
        <v>879</v>
      </c>
    </row>
    <row r="127" spans="1:107" x14ac:dyDescent="0.35">
      <c r="A127" t="s">
        <v>739</v>
      </c>
      <c r="B127">
        <v>0</v>
      </c>
      <c r="C127">
        <v>0</v>
      </c>
      <c r="D127">
        <v>0</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c r="Z127">
        <v>1</v>
      </c>
      <c r="AA127">
        <v>1</v>
      </c>
      <c r="AB127">
        <v>1</v>
      </c>
      <c r="AC127">
        <v>1</v>
      </c>
      <c r="AD127">
        <v>-1</v>
      </c>
      <c r="AE127">
        <v>-1</v>
      </c>
      <c r="AF127">
        <v>-1</v>
      </c>
      <c r="AG127">
        <v>-1</v>
      </c>
      <c r="AH127">
        <v>-1</v>
      </c>
      <c r="AI127">
        <v>-1</v>
      </c>
      <c r="AJ127">
        <v>-1</v>
      </c>
      <c r="AK127">
        <v>-1</v>
      </c>
      <c r="AL127">
        <v>-1</v>
      </c>
      <c r="AM127">
        <v>-1</v>
      </c>
      <c r="AN127">
        <v>-1</v>
      </c>
      <c r="AO127">
        <v>-1</v>
      </c>
      <c r="AP127">
        <v>-1</v>
      </c>
      <c r="AQ127">
        <v>-1</v>
      </c>
      <c r="AR127">
        <v>-1</v>
      </c>
      <c r="AS127">
        <v>-1</v>
      </c>
      <c r="AT127">
        <v>-1</v>
      </c>
      <c r="AU127">
        <v>-1</v>
      </c>
      <c r="AV127">
        <v>-1</v>
      </c>
      <c r="AW127">
        <v>-1</v>
      </c>
      <c r="AX127">
        <v>-1</v>
      </c>
      <c r="AY127">
        <v>-1</v>
      </c>
      <c r="AZ127">
        <v>-1</v>
      </c>
      <c r="BA127">
        <v>-1</v>
      </c>
      <c r="BB127">
        <v>-1</v>
      </c>
      <c r="BC127">
        <v>-1</v>
      </c>
      <c r="BD127">
        <v>-1</v>
      </c>
      <c r="BE127">
        <v>-1</v>
      </c>
      <c r="BF127">
        <v>-1</v>
      </c>
      <c r="BG127">
        <v>-1</v>
      </c>
      <c r="BH127">
        <v>-1</v>
      </c>
      <c r="BI127">
        <v>-1</v>
      </c>
      <c r="BJ127">
        <v>-1</v>
      </c>
      <c r="BK127">
        <v>-1</v>
      </c>
      <c r="BL127">
        <v>-1</v>
      </c>
      <c r="BM127">
        <v>-1</v>
      </c>
      <c r="BN127">
        <v>-1</v>
      </c>
      <c r="BO127">
        <v>-1</v>
      </c>
      <c r="BP127">
        <v>-1</v>
      </c>
      <c r="BQ127">
        <v>-1</v>
      </c>
      <c r="BR127">
        <v>-1</v>
      </c>
      <c r="BS127">
        <v>-1</v>
      </c>
      <c r="BT127">
        <v>-1</v>
      </c>
      <c r="BU127">
        <v>-1</v>
      </c>
      <c r="BV127">
        <v>-1</v>
      </c>
      <c r="BW127">
        <v>-1</v>
      </c>
      <c r="BX127">
        <v>-1</v>
      </c>
      <c r="BY127">
        <v>-1</v>
      </c>
      <c r="BZ127">
        <v>-1</v>
      </c>
      <c r="CA127">
        <v>-1</v>
      </c>
      <c r="CB127">
        <v>-1</v>
      </c>
      <c r="CC127">
        <v>-1</v>
      </c>
      <c r="CD127">
        <v>-1</v>
      </c>
      <c r="CE127">
        <v>-1</v>
      </c>
      <c r="CF127">
        <v>-1</v>
      </c>
      <c r="CG127">
        <v>-1</v>
      </c>
      <c r="CH127">
        <v>-1</v>
      </c>
      <c r="CI127">
        <v>-1</v>
      </c>
      <c r="CJ127">
        <v>-1</v>
      </c>
      <c r="CK127">
        <v>-1</v>
      </c>
      <c r="CL127">
        <v>-1</v>
      </c>
      <c r="CM127">
        <v>-1</v>
      </c>
      <c r="CN127">
        <v>-1</v>
      </c>
      <c r="CO127">
        <v>-1</v>
      </c>
      <c r="CP127">
        <v>-1</v>
      </c>
      <c r="CQ127">
        <v>-1</v>
      </c>
      <c r="CR127">
        <v>-1</v>
      </c>
      <c r="CS127">
        <v>-1</v>
      </c>
      <c r="CT127">
        <v>-1</v>
      </c>
      <c r="CU127">
        <v>-1</v>
      </c>
      <c r="CV127">
        <v>-1</v>
      </c>
      <c r="CW127">
        <v>-1</v>
      </c>
      <c r="CX127" s="141"/>
      <c r="CY127">
        <v>2.5</v>
      </c>
      <c r="CZ127">
        <v>25</v>
      </c>
      <c r="DA127" t="s">
        <v>739</v>
      </c>
      <c r="DB127" s="29" t="s">
        <v>879</v>
      </c>
    </row>
    <row r="128" spans="1:107" x14ac:dyDescent="0.35">
      <c r="A128" t="s">
        <v>740</v>
      </c>
      <c r="B128">
        <v>0</v>
      </c>
      <c r="C128">
        <v>0</v>
      </c>
      <c r="D128">
        <v>0</v>
      </c>
      <c r="E128">
        <v>0</v>
      </c>
      <c r="F128">
        <v>0</v>
      </c>
      <c r="G128">
        <v>1</v>
      </c>
      <c r="H128">
        <v>1</v>
      </c>
      <c r="I128">
        <v>1</v>
      </c>
      <c r="J128">
        <v>1</v>
      </c>
      <c r="K128">
        <v>1</v>
      </c>
      <c r="L128">
        <v>1</v>
      </c>
      <c r="M128">
        <v>1</v>
      </c>
      <c r="N128">
        <v>1</v>
      </c>
      <c r="O128">
        <v>1</v>
      </c>
      <c r="P128">
        <v>1</v>
      </c>
      <c r="Q128">
        <v>1</v>
      </c>
      <c r="R128">
        <v>1</v>
      </c>
      <c r="S128">
        <v>1</v>
      </c>
      <c r="T128">
        <v>1</v>
      </c>
      <c r="U128">
        <v>1</v>
      </c>
      <c r="V128">
        <v>1</v>
      </c>
      <c r="W128">
        <v>1</v>
      </c>
      <c r="X128">
        <v>1</v>
      </c>
      <c r="Y128">
        <v>1</v>
      </c>
      <c r="Z128">
        <v>1</v>
      </c>
      <c r="AA128">
        <v>1</v>
      </c>
      <c r="AB128">
        <v>1</v>
      </c>
      <c r="AC128">
        <v>1</v>
      </c>
      <c r="AD128">
        <v>1</v>
      </c>
      <c r="AE128">
        <v>1</v>
      </c>
      <c r="AF128">
        <v>-1</v>
      </c>
      <c r="AG128">
        <v>-1</v>
      </c>
      <c r="AH128">
        <v>-1</v>
      </c>
      <c r="AI128">
        <v>-1</v>
      </c>
      <c r="AJ128">
        <v>-1</v>
      </c>
      <c r="AK128">
        <v>-1</v>
      </c>
      <c r="AL128">
        <v>-1</v>
      </c>
      <c r="AM128">
        <v>-1</v>
      </c>
      <c r="AN128">
        <v>-1</v>
      </c>
      <c r="AO128">
        <v>-1</v>
      </c>
      <c r="AP128">
        <v>-1</v>
      </c>
      <c r="AQ128">
        <v>-1</v>
      </c>
      <c r="AR128">
        <v>-1</v>
      </c>
      <c r="AS128">
        <v>-1</v>
      </c>
      <c r="AT128">
        <v>-1</v>
      </c>
      <c r="AU128">
        <v>-1</v>
      </c>
      <c r="AV128">
        <v>-1</v>
      </c>
      <c r="AW128">
        <v>-1</v>
      </c>
      <c r="AX128">
        <v>-1</v>
      </c>
      <c r="AY128">
        <v>-1</v>
      </c>
      <c r="AZ128">
        <v>-1</v>
      </c>
      <c r="BA128">
        <v>-1</v>
      </c>
      <c r="BB128">
        <v>-1</v>
      </c>
      <c r="BC128">
        <v>-1</v>
      </c>
      <c r="BD128">
        <v>-1</v>
      </c>
      <c r="BE128">
        <v>-1</v>
      </c>
      <c r="BF128">
        <v>-1</v>
      </c>
      <c r="BG128">
        <v>-1</v>
      </c>
      <c r="BH128">
        <v>-1</v>
      </c>
      <c r="BI128">
        <v>-1</v>
      </c>
      <c r="BJ128">
        <v>-1</v>
      </c>
      <c r="BK128">
        <v>-1</v>
      </c>
      <c r="BL128">
        <v>-1</v>
      </c>
      <c r="BM128">
        <v>-1</v>
      </c>
      <c r="BN128">
        <v>-1</v>
      </c>
      <c r="BO128">
        <v>-1</v>
      </c>
      <c r="BP128">
        <v>-1</v>
      </c>
      <c r="BQ128">
        <v>-1</v>
      </c>
      <c r="BR128">
        <v>-1</v>
      </c>
      <c r="BS128">
        <v>-1</v>
      </c>
      <c r="BT128">
        <v>-1</v>
      </c>
      <c r="BU128">
        <v>-1</v>
      </c>
      <c r="BV128">
        <v>-1</v>
      </c>
      <c r="BW128">
        <v>-1</v>
      </c>
      <c r="BX128">
        <v>-1</v>
      </c>
      <c r="BY128">
        <v>-1</v>
      </c>
      <c r="BZ128">
        <v>-1</v>
      </c>
      <c r="CA128">
        <v>-1</v>
      </c>
      <c r="CB128">
        <v>-1</v>
      </c>
      <c r="CC128">
        <v>-1</v>
      </c>
      <c r="CD128">
        <v>-1</v>
      </c>
      <c r="CE128">
        <v>-1</v>
      </c>
      <c r="CF128">
        <v>-1</v>
      </c>
      <c r="CG128">
        <v>-1</v>
      </c>
      <c r="CH128">
        <v>-1</v>
      </c>
      <c r="CI128">
        <v>-1</v>
      </c>
      <c r="CJ128">
        <v>-1</v>
      </c>
      <c r="CK128">
        <v>-1</v>
      </c>
      <c r="CL128">
        <v>-1</v>
      </c>
      <c r="CM128">
        <v>-1</v>
      </c>
      <c r="CN128">
        <v>-1</v>
      </c>
      <c r="CO128">
        <v>-1</v>
      </c>
      <c r="CP128">
        <v>-1</v>
      </c>
      <c r="CQ128">
        <v>-1</v>
      </c>
      <c r="CR128">
        <v>-1</v>
      </c>
      <c r="CS128">
        <v>-1</v>
      </c>
      <c r="CT128">
        <v>-1</v>
      </c>
      <c r="CU128">
        <v>-1</v>
      </c>
      <c r="CV128">
        <v>-1</v>
      </c>
      <c r="CW128">
        <v>-1</v>
      </c>
      <c r="CX128" s="141"/>
      <c r="CY128">
        <v>4.5</v>
      </c>
      <c r="CZ128">
        <v>25</v>
      </c>
      <c r="DA128" t="s">
        <v>740</v>
      </c>
      <c r="DB128" t="s">
        <v>880</v>
      </c>
    </row>
    <row r="129" spans="1:107" x14ac:dyDescent="0.35">
      <c r="A129" t="s">
        <v>741</v>
      </c>
      <c r="B129">
        <v>0</v>
      </c>
      <c r="C129">
        <v>0</v>
      </c>
      <c r="D129">
        <v>0</v>
      </c>
      <c r="E129">
        <v>0</v>
      </c>
      <c r="F129">
        <v>0</v>
      </c>
      <c r="G129">
        <v>1</v>
      </c>
      <c r="H129">
        <v>1</v>
      </c>
      <c r="I129">
        <v>1</v>
      </c>
      <c r="J129">
        <v>1</v>
      </c>
      <c r="K129">
        <v>1</v>
      </c>
      <c r="L129">
        <v>1</v>
      </c>
      <c r="M129">
        <v>1</v>
      </c>
      <c r="N129">
        <v>1</v>
      </c>
      <c r="O129">
        <v>1</v>
      </c>
      <c r="P129">
        <v>1</v>
      </c>
      <c r="Q129">
        <v>1</v>
      </c>
      <c r="R129">
        <v>1</v>
      </c>
      <c r="S129">
        <v>1</v>
      </c>
      <c r="T129">
        <v>1</v>
      </c>
      <c r="U129">
        <v>1</v>
      </c>
      <c r="V129">
        <v>1</v>
      </c>
      <c r="W129">
        <v>1</v>
      </c>
      <c r="X129">
        <v>1</v>
      </c>
      <c r="Y129">
        <v>1</v>
      </c>
      <c r="Z129">
        <v>1</v>
      </c>
      <c r="AA129">
        <v>1</v>
      </c>
      <c r="AB129">
        <v>1</v>
      </c>
      <c r="AC129">
        <v>1</v>
      </c>
      <c r="AD129">
        <v>1</v>
      </c>
      <c r="AE129">
        <v>1</v>
      </c>
      <c r="AF129">
        <v>-1</v>
      </c>
      <c r="AG129">
        <v>-1</v>
      </c>
      <c r="AH129">
        <v>-1</v>
      </c>
      <c r="AI129">
        <v>-1</v>
      </c>
      <c r="AJ129">
        <v>-1</v>
      </c>
      <c r="AK129">
        <v>-1</v>
      </c>
      <c r="AL129">
        <v>-1</v>
      </c>
      <c r="AM129">
        <v>-1</v>
      </c>
      <c r="AN129">
        <v>-1</v>
      </c>
      <c r="AO129">
        <v>-1</v>
      </c>
      <c r="AP129">
        <v>-1</v>
      </c>
      <c r="AQ129">
        <v>-1</v>
      </c>
      <c r="AR129">
        <v>-1</v>
      </c>
      <c r="AS129">
        <v>-1</v>
      </c>
      <c r="AT129">
        <v>-1</v>
      </c>
      <c r="AU129">
        <v>-1</v>
      </c>
      <c r="AV129">
        <v>-1</v>
      </c>
      <c r="AW129">
        <v>-1</v>
      </c>
      <c r="AX129">
        <v>-1</v>
      </c>
      <c r="AY129">
        <v>-1</v>
      </c>
      <c r="AZ129">
        <v>-1</v>
      </c>
      <c r="BA129">
        <v>-1</v>
      </c>
      <c r="BB129">
        <v>-1</v>
      </c>
      <c r="BC129">
        <v>-1</v>
      </c>
      <c r="BD129">
        <v>-1</v>
      </c>
      <c r="BE129">
        <v>-1</v>
      </c>
      <c r="BF129">
        <v>-1</v>
      </c>
      <c r="BG129">
        <v>-1</v>
      </c>
      <c r="BH129">
        <v>-1</v>
      </c>
      <c r="BI129">
        <v>-1</v>
      </c>
      <c r="BJ129">
        <v>-1</v>
      </c>
      <c r="BK129">
        <v>-1</v>
      </c>
      <c r="BL129">
        <v>-1</v>
      </c>
      <c r="BM129">
        <v>-1</v>
      </c>
      <c r="BN129">
        <v>-1</v>
      </c>
      <c r="BO129">
        <v>-1</v>
      </c>
      <c r="BP129">
        <v>-1</v>
      </c>
      <c r="BQ129">
        <v>-1</v>
      </c>
      <c r="BR129">
        <v>-1</v>
      </c>
      <c r="BS129">
        <v>-1</v>
      </c>
      <c r="BT129">
        <v>-1</v>
      </c>
      <c r="BU129">
        <v>-1</v>
      </c>
      <c r="BV129">
        <v>-1</v>
      </c>
      <c r="BW129">
        <v>-1</v>
      </c>
      <c r="BX129">
        <v>-1</v>
      </c>
      <c r="BY129">
        <v>-1</v>
      </c>
      <c r="BZ129">
        <v>-1</v>
      </c>
      <c r="CA129">
        <v>-1</v>
      </c>
      <c r="CB129">
        <v>-1</v>
      </c>
      <c r="CC129">
        <v>-1</v>
      </c>
      <c r="CD129">
        <v>-1</v>
      </c>
      <c r="CE129">
        <v>-1</v>
      </c>
      <c r="CF129">
        <v>-1</v>
      </c>
      <c r="CG129">
        <v>-1</v>
      </c>
      <c r="CH129">
        <v>-1</v>
      </c>
      <c r="CI129">
        <v>-1</v>
      </c>
      <c r="CJ129">
        <v>-1</v>
      </c>
      <c r="CK129">
        <v>-1</v>
      </c>
      <c r="CL129">
        <v>-1</v>
      </c>
      <c r="CM129">
        <v>-1</v>
      </c>
      <c r="CN129">
        <v>-1</v>
      </c>
      <c r="CO129">
        <v>-1</v>
      </c>
      <c r="CP129">
        <v>-1</v>
      </c>
      <c r="CQ129">
        <v>-1</v>
      </c>
      <c r="CR129">
        <v>-1</v>
      </c>
      <c r="CS129">
        <v>-1</v>
      </c>
      <c r="CT129">
        <v>-1</v>
      </c>
      <c r="CU129">
        <v>-1</v>
      </c>
      <c r="CV129">
        <v>-1</v>
      </c>
      <c r="CW129">
        <v>-1</v>
      </c>
      <c r="CX129" s="141"/>
      <c r="CY129">
        <v>4.5</v>
      </c>
      <c r="CZ129">
        <v>25</v>
      </c>
      <c r="DA129" t="s">
        <v>741</v>
      </c>
      <c r="DB129" t="s">
        <v>880</v>
      </c>
    </row>
    <row r="130" spans="1:107" x14ac:dyDescent="0.35">
      <c r="A130" t="s">
        <v>742</v>
      </c>
      <c r="B130">
        <v>0</v>
      </c>
      <c r="C130">
        <v>0</v>
      </c>
      <c r="D130">
        <v>0</v>
      </c>
      <c r="E130">
        <v>0</v>
      </c>
      <c r="F130">
        <v>0</v>
      </c>
      <c r="G130">
        <v>1</v>
      </c>
      <c r="H130">
        <v>1</v>
      </c>
      <c r="I130">
        <v>1</v>
      </c>
      <c r="J130">
        <v>1</v>
      </c>
      <c r="K130">
        <v>1</v>
      </c>
      <c r="L130">
        <v>1</v>
      </c>
      <c r="M130">
        <v>1</v>
      </c>
      <c r="N130">
        <v>1</v>
      </c>
      <c r="O130">
        <v>1</v>
      </c>
      <c r="P130">
        <v>1</v>
      </c>
      <c r="Q130">
        <v>1</v>
      </c>
      <c r="R130">
        <v>1</v>
      </c>
      <c r="S130">
        <v>1</v>
      </c>
      <c r="T130">
        <v>1</v>
      </c>
      <c r="U130">
        <v>1</v>
      </c>
      <c r="V130">
        <v>1</v>
      </c>
      <c r="W130">
        <v>1</v>
      </c>
      <c r="X130">
        <v>1</v>
      </c>
      <c r="Y130">
        <v>1</v>
      </c>
      <c r="Z130">
        <v>1</v>
      </c>
      <c r="AA130">
        <v>1</v>
      </c>
      <c r="AB130">
        <v>1</v>
      </c>
      <c r="AC130">
        <v>1</v>
      </c>
      <c r="AD130">
        <v>1</v>
      </c>
      <c r="AE130">
        <v>1</v>
      </c>
      <c r="AF130">
        <v>-1</v>
      </c>
      <c r="AG130">
        <v>-1</v>
      </c>
      <c r="AH130">
        <v>-1</v>
      </c>
      <c r="AI130">
        <v>-1</v>
      </c>
      <c r="AJ130">
        <v>-1</v>
      </c>
      <c r="AK130">
        <v>-1</v>
      </c>
      <c r="AL130">
        <v>-1</v>
      </c>
      <c r="AM130">
        <v>-1</v>
      </c>
      <c r="AN130">
        <v>-1</v>
      </c>
      <c r="AO130">
        <v>-1</v>
      </c>
      <c r="AP130">
        <v>-1</v>
      </c>
      <c r="AQ130">
        <v>-1</v>
      </c>
      <c r="AR130">
        <v>-1</v>
      </c>
      <c r="AS130">
        <v>-1</v>
      </c>
      <c r="AT130">
        <v>-1</v>
      </c>
      <c r="AU130">
        <v>-1</v>
      </c>
      <c r="AV130">
        <v>-1</v>
      </c>
      <c r="AW130">
        <v>-1</v>
      </c>
      <c r="AX130">
        <v>-1</v>
      </c>
      <c r="AY130">
        <v>-1</v>
      </c>
      <c r="AZ130">
        <v>-1</v>
      </c>
      <c r="BA130">
        <v>-1</v>
      </c>
      <c r="BB130">
        <v>-1</v>
      </c>
      <c r="BC130">
        <v>-1</v>
      </c>
      <c r="BD130">
        <v>-1</v>
      </c>
      <c r="BE130">
        <v>-1</v>
      </c>
      <c r="BF130">
        <v>-1</v>
      </c>
      <c r="BG130">
        <v>-1</v>
      </c>
      <c r="BH130">
        <v>-1</v>
      </c>
      <c r="BI130">
        <v>-1</v>
      </c>
      <c r="BJ130">
        <v>-1</v>
      </c>
      <c r="BK130">
        <v>-1</v>
      </c>
      <c r="BL130">
        <v>-1</v>
      </c>
      <c r="BM130">
        <v>-1</v>
      </c>
      <c r="BN130">
        <v>-1</v>
      </c>
      <c r="BO130">
        <v>-1</v>
      </c>
      <c r="BP130">
        <v>-1</v>
      </c>
      <c r="BQ130">
        <v>-1</v>
      </c>
      <c r="BR130">
        <v>-1</v>
      </c>
      <c r="BS130">
        <v>-1</v>
      </c>
      <c r="BT130">
        <v>-1</v>
      </c>
      <c r="BU130">
        <v>-1</v>
      </c>
      <c r="BV130">
        <v>-1</v>
      </c>
      <c r="BW130">
        <v>-1</v>
      </c>
      <c r="BX130">
        <v>-1</v>
      </c>
      <c r="BY130">
        <v>-1</v>
      </c>
      <c r="BZ130">
        <v>-1</v>
      </c>
      <c r="CA130">
        <v>-1</v>
      </c>
      <c r="CB130">
        <v>-1</v>
      </c>
      <c r="CC130">
        <v>-1</v>
      </c>
      <c r="CD130">
        <v>-1</v>
      </c>
      <c r="CE130">
        <v>-1</v>
      </c>
      <c r="CF130">
        <v>-1</v>
      </c>
      <c r="CG130">
        <v>-1</v>
      </c>
      <c r="CH130">
        <v>-1</v>
      </c>
      <c r="CI130">
        <v>-1</v>
      </c>
      <c r="CJ130">
        <v>-1</v>
      </c>
      <c r="CK130">
        <v>-1</v>
      </c>
      <c r="CL130">
        <v>-1</v>
      </c>
      <c r="CM130">
        <v>-1</v>
      </c>
      <c r="CN130">
        <v>-1</v>
      </c>
      <c r="CO130">
        <v>-1</v>
      </c>
      <c r="CP130">
        <v>-1</v>
      </c>
      <c r="CQ130">
        <v>-1</v>
      </c>
      <c r="CR130">
        <v>-1</v>
      </c>
      <c r="CS130">
        <v>-1</v>
      </c>
      <c r="CT130">
        <v>-1</v>
      </c>
      <c r="CU130">
        <v>-1</v>
      </c>
      <c r="CV130">
        <v>-1</v>
      </c>
      <c r="CW130">
        <v>-1</v>
      </c>
      <c r="CX130" s="141"/>
      <c r="CY130">
        <v>5</v>
      </c>
      <c r="CZ130">
        <v>25</v>
      </c>
      <c r="DA130" t="s">
        <v>742</v>
      </c>
      <c r="DB130" t="s">
        <v>878</v>
      </c>
    </row>
    <row r="131" spans="1:107" x14ac:dyDescent="0.35">
      <c r="A131" t="s">
        <v>743</v>
      </c>
      <c r="B131">
        <v>0</v>
      </c>
      <c r="C131">
        <v>0</v>
      </c>
      <c r="D131">
        <v>0</v>
      </c>
      <c r="E131">
        <v>0</v>
      </c>
      <c r="F131">
        <v>0</v>
      </c>
      <c r="G131">
        <v>1</v>
      </c>
      <c r="H131">
        <v>1</v>
      </c>
      <c r="I131">
        <v>1</v>
      </c>
      <c r="J131">
        <v>1</v>
      </c>
      <c r="K131">
        <v>1</v>
      </c>
      <c r="L131">
        <v>1</v>
      </c>
      <c r="M131">
        <v>1</v>
      </c>
      <c r="N131">
        <v>1</v>
      </c>
      <c r="O131">
        <v>1</v>
      </c>
      <c r="P131">
        <v>1</v>
      </c>
      <c r="Q131">
        <v>1</v>
      </c>
      <c r="R131">
        <v>1</v>
      </c>
      <c r="S131">
        <v>1</v>
      </c>
      <c r="T131">
        <v>1</v>
      </c>
      <c r="U131">
        <v>1</v>
      </c>
      <c r="V131">
        <v>1</v>
      </c>
      <c r="W131">
        <v>1</v>
      </c>
      <c r="X131">
        <v>1</v>
      </c>
      <c r="Y131">
        <v>1</v>
      </c>
      <c r="Z131">
        <v>1</v>
      </c>
      <c r="AA131">
        <v>1</v>
      </c>
      <c r="AB131">
        <v>1</v>
      </c>
      <c r="AC131">
        <v>1</v>
      </c>
      <c r="AD131">
        <v>1</v>
      </c>
      <c r="AE131">
        <v>1</v>
      </c>
      <c r="AF131">
        <v>-1</v>
      </c>
      <c r="AG131">
        <v>-1</v>
      </c>
      <c r="AH131">
        <v>-1</v>
      </c>
      <c r="AI131">
        <v>-1</v>
      </c>
      <c r="AJ131">
        <v>-1</v>
      </c>
      <c r="AK131">
        <v>-1</v>
      </c>
      <c r="AL131">
        <v>-1</v>
      </c>
      <c r="AM131">
        <v>-1</v>
      </c>
      <c r="AN131">
        <v>-1</v>
      </c>
      <c r="AO131">
        <v>-1</v>
      </c>
      <c r="AP131">
        <v>-1</v>
      </c>
      <c r="AQ131">
        <v>-1</v>
      </c>
      <c r="AR131">
        <v>-1</v>
      </c>
      <c r="AS131">
        <v>-1</v>
      </c>
      <c r="AT131">
        <v>-1</v>
      </c>
      <c r="AU131">
        <v>-1</v>
      </c>
      <c r="AV131">
        <v>-1</v>
      </c>
      <c r="AW131">
        <v>-1</v>
      </c>
      <c r="AX131">
        <v>-1</v>
      </c>
      <c r="AY131">
        <v>-1</v>
      </c>
      <c r="AZ131">
        <v>-1</v>
      </c>
      <c r="BA131">
        <v>-1</v>
      </c>
      <c r="BB131">
        <v>-1</v>
      </c>
      <c r="BC131">
        <v>-1</v>
      </c>
      <c r="BD131">
        <v>-1</v>
      </c>
      <c r="BE131">
        <v>-1</v>
      </c>
      <c r="BF131">
        <v>-1</v>
      </c>
      <c r="BG131">
        <v>-1</v>
      </c>
      <c r="BH131">
        <v>-1</v>
      </c>
      <c r="BI131">
        <v>-1</v>
      </c>
      <c r="BJ131">
        <v>-1</v>
      </c>
      <c r="BK131">
        <v>-1</v>
      </c>
      <c r="BL131">
        <v>-1</v>
      </c>
      <c r="BM131">
        <v>-1</v>
      </c>
      <c r="BN131">
        <v>-1</v>
      </c>
      <c r="BO131">
        <v>-1</v>
      </c>
      <c r="BP131">
        <v>-1</v>
      </c>
      <c r="BQ131">
        <v>-1</v>
      </c>
      <c r="BR131">
        <v>-1</v>
      </c>
      <c r="BS131">
        <v>-1</v>
      </c>
      <c r="BT131">
        <v>-1</v>
      </c>
      <c r="BU131">
        <v>-1</v>
      </c>
      <c r="BV131">
        <v>-1</v>
      </c>
      <c r="BW131">
        <v>-1</v>
      </c>
      <c r="BX131">
        <v>-1</v>
      </c>
      <c r="BY131">
        <v>-1</v>
      </c>
      <c r="BZ131">
        <v>-1</v>
      </c>
      <c r="CA131">
        <v>-1</v>
      </c>
      <c r="CB131">
        <v>-1</v>
      </c>
      <c r="CC131">
        <v>-1</v>
      </c>
      <c r="CD131">
        <v>-1</v>
      </c>
      <c r="CE131">
        <v>-1</v>
      </c>
      <c r="CF131">
        <v>-1</v>
      </c>
      <c r="CG131">
        <v>-1</v>
      </c>
      <c r="CH131">
        <v>-1</v>
      </c>
      <c r="CI131">
        <v>-1</v>
      </c>
      <c r="CJ131">
        <v>-1</v>
      </c>
      <c r="CK131">
        <v>-1</v>
      </c>
      <c r="CL131">
        <v>-1</v>
      </c>
      <c r="CM131">
        <v>-1</v>
      </c>
      <c r="CN131">
        <v>-1</v>
      </c>
      <c r="CO131">
        <v>-1</v>
      </c>
      <c r="CP131">
        <v>-1</v>
      </c>
      <c r="CQ131">
        <v>-1</v>
      </c>
      <c r="CR131">
        <v>-1</v>
      </c>
      <c r="CS131">
        <v>-1</v>
      </c>
      <c r="CT131">
        <v>-1</v>
      </c>
      <c r="CU131">
        <v>-1</v>
      </c>
      <c r="CV131">
        <v>-1</v>
      </c>
      <c r="CW131">
        <v>-1</v>
      </c>
      <c r="CX131" s="141"/>
      <c r="CY131">
        <v>5</v>
      </c>
      <c r="CZ131">
        <v>25</v>
      </c>
      <c r="DA131" t="s">
        <v>743</v>
      </c>
      <c r="DB131" t="s">
        <v>878</v>
      </c>
    </row>
    <row r="132" spans="1:107" x14ac:dyDescent="0.35">
      <c r="A132" t="s">
        <v>744</v>
      </c>
      <c r="B132">
        <v>0</v>
      </c>
      <c r="C132">
        <v>0</v>
      </c>
      <c r="D132">
        <v>0</v>
      </c>
      <c r="E132">
        <v>0</v>
      </c>
      <c r="F132">
        <v>0</v>
      </c>
      <c r="G132">
        <v>1</v>
      </c>
      <c r="H132">
        <v>1</v>
      </c>
      <c r="I132">
        <v>1</v>
      </c>
      <c r="J132">
        <v>1</v>
      </c>
      <c r="K132">
        <v>1</v>
      </c>
      <c r="L132">
        <v>1</v>
      </c>
      <c r="M132">
        <v>1</v>
      </c>
      <c r="N132">
        <v>1</v>
      </c>
      <c r="O132">
        <v>1</v>
      </c>
      <c r="P132">
        <v>1</v>
      </c>
      <c r="Q132">
        <v>1</v>
      </c>
      <c r="R132">
        <v>1</v>
      </c>
      <c r="S132">
        <v>1</v>
      </c>
      <c r="T132">
        <v>1</v>
      </c>
      <c r="U132">
        <v>1</v>
      </c>
      <c r="V132">
        <v>1</v>
      </c>
      <c r="W132">
        <v>1</v>
      </c>
      <c r="X132">
        <v>1</v>
      </c>
      <c r="Y132">
        <v>1</v>
      </c>
      <c r="Z132">
        <v>1</v>
      </c>
      <c r="AA132">
        <v>1</v>
      </c>
      <c r="AB132">
        <v>1</v>
      </c>
      <c r="AC132">
        <v>1</v>
      </c>
      <c r="AD132">
        <v>1</v>
      </c>
      <c r="AE132">
        <v>1</v>
      </c>
      <c r="AF132">
        <v>-1</v>
      </c>
      <c r="AG132">
        <v>-1</v>
      </c>
      <c r="AH132">
        <v>-1</v>
      </c>
      <c r="AI132">
        <v>-1</v>
      </c>
      <c r="AJ132">
        <v>-1</v>
      </c>
      <c r="AK132">
        <v>-1</v>
      </c>
      <c r="AL132">
        <v>-1</v>
      </c>
      <c r="AM132">
        <v>-1</v>
      </c>
      <c r="AN132">
        <v>-1</v>
      </c>
      <c r="AO132">
        <v>-1</v>
      </c>
      <c r="AP132">
        <v>-1</v>
      </c>
      <c r="AQ132">
        <v>-1</v>
      </c>
      <c r="AR132">
        <v>-1</v>
      </c>
      <c r="AS132">
        <v>-1</v>
      </c>
      <c r="AT132">
        <v>-1</v>
      </c>
      <c r="AU132">
        <v>-1</v>
      </c>
      <c r="AV132">
        <v>-1</v>
      </c>
      <c r="AW132">
        <v>-1</v>
      </c>
      <c r="AX132">
        <v>-1</v>
      </c>
      <c r="AY132">
        <v>-1</v>
      </c>
      <c r="AZ132">
        <v>-1</v>
      </c>
      <c r="BA132">
        <v>-1</v>
      </c>
      <c r="BB132">
        <v>-1</v>
      </c>
      <c r="BC132">
        <v>-1</v>
      </c>
      <c r="BD132">
        <v>-1</v>
      </c>
      <c r="BE132">
        <v>-1</v>
      </c>
      <c r="BF132">
        <v>-1</v>
      </c>
      <c r="BG132">
        <v>-1</v>
      </c>
      <c r="BH132">
        <v>-1</v>
      </c>
      <c r="BI132">
        <v>-1</v>
      </c>
      <c r="BJ132">
        <v>-1</v>
      </c>
      <c r="BK132">
        <v>-1</v>
      </c>
      <c r="BL132">
        <v>-1</v>
      </c>
      <c r="BM132">
        <v>-1</v>
      </c>
      <c r="BN132">
        <v>-1</v>
      </c>
      <c r="BO132">
        <v>-1</v>
      </c>
      <c r="BP132">
        <v>-1</v>
      </c>
      <c r="BQ132">
        <v>-1</v>
      </c>
      <c r="BR132">
        <v>-1</v>
      </c>
      <c r="BS132">
        <v>-1</v>
      </c>
      <c r="BT132">
        <v>-1</v>
      </c>
      <c r="BU132">
        <v>-1</v>
      </c>
      <c r="BV132">
        <v>-1</v>
      </c>
      <c r="BW132">
        <v>-1</v>
      </c>
      <c r="BX132">
        <v>-1</v>
      </c>
      <c r="BY132">
        <v>-1</v>
      </c>
      <c r="BZ132">
        <v>-1</v>
      </c>
      <c r="CA132">
        <v>-1</v>
      </c>
      <c r="CB132">
        <v>-1</v>
      </c>
      <c r="CC132">
        <v>-1</v>
      </c>
      <c r="CD132">
        <v>-1</v>
      </c>
      <c r="CE132">
        <v>-1</v>
      </c>
      <c r="CF132">
        <v>-1</v>
      </c>
      <c r="CG132">
        <v>-1</v>
      </c>
      <c r="CH132">
        <v>-1</v>
      </c>
      <c r="CI132">
        <v>-1</v>
      </c>
      <c r="CJ132">
        <v>-1</v>
      </c>
      <c r="CK132">
        <v>-1</v>
      </c>
      <c r="CL132">
        <v>-1</v>
      </c>
      <c r="CM132">
        <v>-1</v>
      </c>
      <c r="CN132">
        <v>-1</v>
      </c>
      <c r="CO132">
        <v>-1</v>
      </c>
      <c r="CP132">
        <v>-1</v>
      </c>
      <c r="CQ132">
        <v>-1</v>
      </c>
      <c r="CR132">
        <v>-1</v>
      </c>
      <c r="CS132">
        <v>-1</v>
      </c>
      <c r="CT132">
        <v>-1</v>
      </c>
      <c r="CU132">
        <v>-1</v>
      </c>
      <c r="CV132">
        <v>-1</v>
      </c>
      <c r="CW132">
        <v>-1</v>
      </c>
      <c r="CX132" s="141"/>
      <c r="CY132">
        <v>5</v>
      </c>
      <c r="CZ132">
        <v>25</v>
      </c>
      <c r="DA132" t="s">
        <v>744</v>
      </c>
      <c r="DB132" t="s">
        <v>878</v>
      </c>
    </row>
    <row r="133" spans="1:107" x14ac:dyDescent="0.35">
      <c r="A133" t="s">
        <v>745</v>
      </c>
      <c r="B133">
        <v>0</v>
      </c>
      <c r="C133">
        <v>1</v>
      </c>
      <c r="D133">
        <v>1</v>
      </c>
      <c r="E133">
        <v>1</v>
      </c>
      <c r="F133">
        <v>1</v>
      </c>
      <c r="G133">
        <v>1</v>
      </c>
      <c r="H133">
        <v>1</v>
      </c>
      <c r="I133">
        <v>1</v>
      </c>
      <c r="J133">
        <v>1</v>
      </c>
      <c r="K133">
        <v>1</v>
      </c>
      <c r="L133">
        <v>1</v>
      </c>
      <c r="M133">
        <v>1</v>
      </c>
      <c r="N133">
        <v>1</v>
      </c>
      <c r="O133">
        <v>1</v>
      </c>
      <c r="P133">
        <v>1</v>
      </c>
      <c r="Q133">
        <v>1</v>
      </c>
      <c r="R133">
        <v>1</v>
      </c>
      <c r="S133">
        <v>1</v>
      </c>
      <c r="T133">
        <v>1</v>
      </c>
      <c r="U133">
        <v>1</v>
      </c>
      <c r="V133">
        <v>1</v>
      </c>
      <c r="W133">
        <v>1</v>
      </c>
      <c r="X133">
        <v>1</v>
      </c>
      <c r="Y133">
        <v>1</v>
      </c>
      <c r="Z133">
        <v>1</v>
      </c>
      <c r="AA133">
        <v>1</v>
      </c>
      <c r="AB133">
        <v>-1</v>
      </c>
      <c r="AC133">
        <v>-1</v>
      </c>
      <c r="AD133">
        <v>-1</v>
      </c>
      <c r="AE133">
        <v>-1</v>
      </c>
      <c r="AF133">
        <v>-1</v>
      </c>
      <c r="AG133">
        <v>-1</v>
      </c>
      <c r="AH133">
        <v>-1</v>
      </c>
      <c r="AI133">
        <v>-1</v>
      </c>
      <c r="AJ133">
        <v>-1</v>
      </c>
      <c r="AK133">
        <v>-1</v>
      </c>
      <c r="AL133">
        <v>-1</v>
      </c>
      <c r="AM133">
        <v>-1</v>
      </c>
      <c r="AN133">
        <v>-1</v>
      </c>
      <c r="AO133">
        <v>-1</v>
      </c>
      <c r="AP133">
        <v>-1</v>
      </c>
      <c r="AQ133">
        <v>-1</v>
      </c>
      <c r="AR133">
        <v>-1</v>
      </c>
      <c r="AS133">
        <v>-1</v>
      </c>
      <c r="AT133">
        <v>-1</v>
      </c>
      <c r="AU133">
        <v>-1</v>
      </c>
      <c r="AV133">
        <v>-1</v>
      </c>
      <c r="AW133">
        <v>-1</v>
      </c>
      <c r="AX133">
        <v>-1</v>
      </c>
      <c r="AY133">
        <v>-1</v>
      </c>
      <c r="AZ133">
        <v>-1</v>
      </c>
      <c r="BA133">
        <v>-1</v>
      </c>
      <c r="BB133">
        <v>-1</v>
      </c>
      <c r="BC133">
        <v>-1</v>
      </c>
      <c r="BD133">
        <v>-1</v>
      </c>
      <c r="BE133">
        <v>-1</v>
      </c>
      <c r="BF133">
        <v>-1</v>
      </c>
      <c r="BG133">
        <v>-1</v>
      </c>
      <c r="BH133">
        <v>-1</v>
      </c>
      <c r="BI133">
        <v>-1</v>
      </c>
      <c r="BJ133">
        <v>-1</v>
      </c>
      <c r="BK133">
        <v>-1</v>
      </c>
      <c r="BL133">
        <v>-1</v>
      </c>
      <c r="BM133">
        <v>-1</v>
      </c>
      <c r="BN133">
        <v>-1</v>
      </c>
      <c r="BO133">
        <v>-1</v>
      </c>
      <c r="BP133">
        <v>-1</v>
      </c>
      <c r="BQ133">
        <v>-1</v>
      </c>
      <c r="BR133">
        <v>-1</v>
      </c>
      <c r="BS133">
        <v>-1</v>
      </c>
      <c r="BT133">
        <v>-1</v>
      </c>
      <c r="BU133">
        <v>-1</v>
      </c>
      <c r="BV133">
        <v>-1</v>
      </c>
      <c r="BW133">
        <v>-1</v>
      </c>
      <c r="BX133">
        <v>-1</v>
      </c>
      <c r="BY133">
        <v>-1</v>
      </c>
      <c r="BZ133">
        <v>-1</v>
      </c>
      <c r="CA133">
        <v>-1</v>
      </c>
      <c r="CB133">
        <v>-1</v>
      </c>
      <c r="CC133">
        <v>-1</v>
      </c>
      <c r="CD133">
        <v>-1</v>
      </c>
      <c r="CE133">
        <v>-1</v>
      </c>
      <c r="CF133">
        <v>-1</v>
      </c>
      <c r="CG133">
        <v>-1</v>
      </c>
      <c r="CH133">
        <v>-1</v>
      </c>
      <c r="CI133">
        <v>-1</v>
      </c>
      <c r="CJ133">
        <v>-1</v>
      </c>
      <c r="CK133">
        <v>-1</v>
      </c>
      <c r="CL133">
        <v>-1</v>
      </c>
      <c r="CM133">
        <v>-1</v>
      </c>
      <c r="CN133">
        <v>-1</v>
      </c>
      <c r="CO133">
        <v>-1</v>
      </c>
      <c r="CP133">
        <v>-1</v>
      </c>
      <c r="CQ133">
        <v>-1</v>
      </c>
      <c r="CR133">
        <v>-1</v>
      </c>
      <c r="CS133">
        <v>-1</v>
      </c>
      <c r="CT133">
        <v>-1</v>
      </c>
      <c r="CU133">
        <v>-1</v>
      </c>
      <c r="CV133">
        <v>-1</v>
      </c>
      <c r="CW133">
        <v>-1</v>
      </c>
      <c r="CX133" s="141"/>
      <c r="CY133">
        <v>1</v>
      </c>
      <c r="CZ133">
        <v>25</v>
      </c>
      <c r="DA133" t="s">
        <v>745</v>
      </c>
      <c r="DB133" t="s">
        <v>892</v>
      </c>
    </row>
    <row r="134" spans="1:107" x14ac:dyDescent="0.35">
      <c r="A134" t="s">
        <v>746</v>
      </c>
      <c r="B134">
        <v>0</v>
      </c>
      <c r="C134">
        <v>0</v>
      </c>
      <c r="D134">
        <v>0</v>
      </c>
      <c r="E134">
        <v>0</v>
      </c>
      <c r="F134">
        <v>1</v>
      </c>
      <c r="G134">
        <v>1</v>
      </c>
      <c r="H134">
        <v>1</v>
      </c>
      <c r="I134">
        <v>1</v>
      </c>
      <c r="J134">
        <v>1</v>
      </c>
      <c r="K134">
        <v>1</v>
      </c>
      <c r="L134">
        <v>1</v>
      </c>
      <c r="M134">
        <v>1</v>
      </c>
      <c r="N134">
        <v>1</v>
      </c>
      <c r="O134">
        <v>1</v>
      </c>
      <c r="P134">
        <v>1</v>
      </c>
      <c r="Q134">
        <v>1</v>
      </c>
      <c r="R134">
        <v>1</v>
      </c>
      <c r="S134">
        <v>1</v>
      </c>
      <c r="T134">
        <v>1</v>
      </c>
      <c r="U134">
        <v>1</v>
      </c>
      <c r="V134">
        <v>1</v>
      </c>
      <c r="W134">
        <v>1</v>
      </c>
      <c r="X134">
        <v>1</v>
      </c>
      <c r="Y134">
        <v>1</v>
      </c>
      <c r="Z134">
        <v>1</v>
      </c>
      <c r="AA134">
        <v>1</v>
      </c>
      <c r="AB134">
        <v>1</v>
      </c>
      <c r="AC134">
        <v>1</v>
      </c>
      <c r="AD134">
        <v>1</v>
      </c>
      <c r="AE134">
        <v>1</v>
      </c>
      <c r="AF134">
        <v>1</v>
      </c>
      <c r="AG134">
        <v>1</v>
      </c>
      <c r="AH134">
        <v>1</v>
      </c>
      <c r="AI134">
        <v>1</v>
      </c>
      <c r="AJ134">
        <v>1</v>
      </c>
      <c r="AK134">
        <v>1</v>
      </c>
      <c r="AL134">
        <v>1</v>
      </c>
      <c r="AM134">
        <v>1</v>
      </c>
      <c r="AN134">
        <v>1</v>
      </c>
      <c r="AO134">
        <v>1</v>
      </c>
      <c r="AP134">
        <v>1</v>
      </c>
      <c r="AQ134">
        <v>1</v>
      </c>
      <c r="AR134">
        <v>1</v>
      </c>
      <c r="AS134">
        <v>1</v>
      </c>
      <c r="AT134">
        <v>-1</v>
      </c>
      <c r="AU134">
        <v>-1</v>
      </c>
      <c r="AV134">
        <v>-1</v>
      </c>
      <c r="AW134">
        <v>-1</v>
      </c>
      <c r="AX134">
        <v>-1</v>
      </c>
      <c r="AY134">
        <v>-1</v>
      </c>
      <c r="AZ134">
        <v>-1</v>
      </c>
      <c r="BA134">
        <v>-1</v>
      </c>
      <c r="BB134">
        <v>-1</v>
      </c>
      <c r="BC134">
        <v>-1</v>
      </c>
      <c r="BD134">
        <v>-1</v>
      </c>
      <c r="BE134">
        <v>-1</v>
      </c>
      <c r="BF134">
        <v>-1</v>
      </c>
      <c r="BG134">
        <v>-1</v>
      </c>
      <c r="BH134">
        <v>-1</v>
      </c>
      <c r="BI134">
        <v>-1</v>
      </c>
      <c r="BJ134">
        <v>-1</v>
      </c>
      <c r="BK134">
        <v>-1</v>
      </c>
      <c r="BL134">
        <v>-1</v>
      </c>
      <c r="BM134">
        <v>-1</v>
      </c>
      <c r="BN134">
        <v>-1</v>
      </c>
      <c r="BO134">
        <v>-1</v>
      </c>
      <c r="BP134">
        <v>-1</v>
      </c>
      <c r="BQ134">
        <v>-1</v>
      </c>
      <c r="BR134">
        <v>-1</v>
      </c>
      <c r="BS134">
        <v>-1</v>
      </c>
      <c r="BT134">
        <v>-1</v>
      </c>
      <c r="BU134">
        <v>-1</v>
      </c>
      <c r="BV134">
        <v>-1</v>
      </c>
      <c r="BW134">
        <v>-1</v>
      </c>
      <c r="BX134">
        <v>-1</v>
      </c>
      <c r="BY134">
        <v>-1</v>
      </c>
      <c r="BZ134">
        <v>-1</v>
      </c>
      <c r="CA134">
        <v>-1</v>
      </c>
      <c r="CB134">
        <v>-1</v>
      </c>
      <c r="CC134">
        <v>-1</v>
      </c>
      <c r="CD134">
        <v>-1</v>
      </c>
      <c r="CE134">
        <v>-1</v>
      </c>
      <c r="CF134">
        <v>-1</v>
      </c>
      <c r="CG134">
        <v>-1</v>
      </c>
      <c r="CH134">
        <v>-1</v>
      </c>
      <c r="CI134">
        <v>-1</v>
      </c>
      <c r="CJ134">
        <v>-1</v>
      </c>
      <c r="CK134">
        <v>-1</v>
      </c>
      <c r="CL134">
        <v>-1</v>
      </c>
      <c r="CM134">
        <v>-1</v>
      </c>
      <c r="CN134">
        <v>-1</v>
      </c>
      <c r="CO134">
        <v>-1</v>
      </c>
      <c r="CP134">
        <v>-1</v>
      </c>
      <c r="CQ134">
        <v>-1</v>
      </c>
      <c r="CR134">
        <v>-1</v>
      </c>
      <c r="CS134">
        <v>-1</v>
      </c>
      <c r="CT134">
        <v>-1</v>
      </c>
      <c r="CU134">
        <v>-1</v>
      </c>
      <c r="CV134">
        <v>-1</v>
      </c>
      <c r="CW134">
        <v>-1</v>
      </c>
      <c r="CX134" s="141"/>
      <c r="CY134">
        <v>4</v>
      </c>
      <c r="CZ134">
        <v>40</v>
      </c>
      <c r="DA134" t="s">
        <v>746</v>
      </c>
      <c r="DB134" s="29" t="s">
        <v>885</v>
      </c>
    </row>
    <row r="135" spans="1:107" x14ac:dyDescent="0.35">
      <c r="A135" t="s">
        <v>747</v>
      </c>
      <c r="B135">
        <v>0</v>
      </c>
      <c r="C135">
        <v>0</v>
      </c>
      <c r="D135">
        <v>0</v>
      </c>
      <c r="E135">
        <v>0</v>
      </c>
      <c r="F135">
        <v>0</v>
      </c>
      <c r="G135">
        <v>1</v>
      </c>
      <c r="H135">
        <v>1</v>
      </c>
      <c r="I135">
        <v>1</v>
      </c>
      <c r="J135">
        <v>1</v>
      </c>
      <c r="K135">
        <v>1</v>
      </c>
      <c r="L135">
        <v>1</v>
      </c>
      <c r="M135">
        <v>1</v>
      </c>
      <c r="N135">
        <v>1</v>
      </c>
      <c r="O135">
        <v>1</v>
      </c>
      <c r="P135">
        <v>1</v>
      </c>
      <c r="Q135">
        <v>1</v>
      </c>
      <c r="R135">
        <v>1</v>
      </c>
      <c r="S135">
        <v>1</v>
      </c>
      <c r="T135">
        <v>1</v>
      </c>
      <c r="U135">
        <v>1</v>
      </c>
      <c r="V135">
        <v>1</v>
      </c>
      <c r="W135">
        <v>1</v>
      </c>
      <c r="X135">
        <v>1</v>
      </c>
      <c r="Y135">
        <v>1</v>
      </c>
      <c r="Z135">
        <v>1</v>
      </c>
      <c r="AA135">
        <v>1</v>
      </c>
      <c r="AB135">
        <v>1</v>
      </c>
      <c r="AC135">
        <v>1</v>
      </c>
      <c r="AD135">
        <v>1</v>
      </c>
      <c r="AE135">
        <v>1</v>
      </c>
      <c r="AF135">
        <v>-1</v>
      </c>
      <c r="AG135">
        <v>-1</v>
      </c>
      <c r="AH135">
        <v>-1</v>
      </c>
      <c r="AI135">
        <v>-1</v>
      </c>
      <c r="AJ135">
        <v>-1</v>
      </c>
      <c r="AK135">
        <v>-1</v>
      </c>
      <c r="AL135">
        <v>-1</v>
      </c>
      <c r="AM135">
        <v>-1</v>
      </c>
      <c r="AN135">
        <v>-1</v>
      </c>
      <c r="AO135">
        <v>-1</v>
      </c>
      <c r="AP135">
        <v>-1</v>
      </c>
      <c r="AQ135">
        <v>-1</v>
      </c>
      <c r="AR135">
        <v>-1</v>
      </c>
      <c r="AS135">
        <v>-1</v>
      </c>
      <c r="AT135">
        <v>-1</v>
      </c>
      <c r="AU135">
        <v>-1</v>
      </c>
      <c r="AV135">
        <v>-1</v>
      </c>
      <c r="AW135">
        <v>-1</v>
      </c>
      <c r="AX135">
        <v>-1</v>
      </c>
      <c r="AY135">
        <v>-1</v>
      </c>
      <c r="AZ135">
        <v>-1</v>
      </c>
      <c r="BA135">
        <v>-1</v>
      </c>
      <c r="BB135">
        <v>-1</v>
      </c>
      <c r="BC135">
        <v>-1</v>
      </c>
      <c r="BD135">
        <v>-1</v>
      </c>
      <c r="BE135">
        <v>-1</v>
      </c>
      <c r="BF135">
        <v>-1</v>
      </c>
      <c r="BG135">
        <v>-1</v>
      </c>
      <c r="BH135">
        <v>-1</v>
      </c>
      <c r="BI135">
        <v>-1</v>
      </c>
      <c r="BJ135">
        <v>-1</v>
      </c>
      <c r="BK135">
        <v>-1</v>
      </c>
      <c r="BL135">
        <v>-1</v>
      </c>
      <c r="BM135">
        <v>-1</v>
      </c>
      <c r="BN135">
        <v>-1</v>
      </c>
      <c r="BO135">
        <v>-1</v>
      </c>
      <c r="BP135">
        <v>-1</v>
      </c>
      <c r="BQ135">
        <v>-1</v>
      </c>
      <c r="BR135">
        <v>-1</v>
      </c>
      <c r="BS135">
        <v>-1</v>
      </c>
      <c r="BT135">
        <v>-1</v>
      </c>
      <c r="BU135">
        <v>-1</v>
      </c>
      <c r="BV135">
        <v>-1</v>
      </c>
      <c r="BW135">
        <v>-1</v>
      </c>
      <c r="BX135">
        <v>-1</v>
      </c>
      <c r="BY135">
        <v>-1</v>
      </c>
      <c r="BZ135">
        <v>-1</v>
      </c>
      <c r="CA135">
        <v>-1</v>
      </c>
      <c r="CB135">
        <v>-1</v>
      </c>
      <c r="CC135">
        <v>-1</v>
      </c>
      <c r="CD135">
        <v>-1</v>
      </c>
      <c r="CE135">
        <v>-1</v>
      </c>
      <c r="CF135">
        <v>-1</v>
      </c>
      <c r="CG135">
        <v>-1</v>
      </c>
      <c r="CH135">
        <v>-1</v>
      </c>
      <c r="CI135">
        <v>-1</v>
      </c>
      <c r="CJ135">
        <v>-1</v>
      </c>
      <c r="CK135">
        <v>-1</v>
      </c>
      <c r="CL135">
        <v>-1</v>
      </c>
      <c r="CM135">
        <v>-1</v>
      </c>
      <c r="CN135">
        <v>-1</v>
      </c>
      <c r="CO135">
        <v>-1</v>
      </c>
      <c r="CP135">
        <v>-1</v>
      </c>
      <c r="CQ135">
        <v>-1</v>
      </c>
      <c r="CR135">
        <v>-1</v>
      </c>
      <c r="CS135">
        <v>-1</v>
      </c>
      <c r="CT135">
        <v>-1</v>
      </c>
      <c r="CU135">
        <v>-1</v>
      </c>
      <c r="CV135">
        <v>-1</v>
      </c>
      <c r="CW135">
        <v>-1</v>
      </c>
      <c r="CX135" s="141"/>
      <c r="CY135">
        <v>4.5</v>
      </c>
      <c r="CZ135">
        <v>25</v>
      </c>
      <c r="DA135" t="s">
        <v>747</v>
      </c>
      <c r="DB135" t="s">
        <v>889</v>
      </c>
    </row>
    <row r="136" spans="1:107" x14ac:dyDescent="0.35">
      <c r="A136" t="s">
        <v>748</v>
      </c>
      <c r="B136">
        <v>0</v>
      </c>
      <c r="C136">
        <v>1</v>
      </c>
      <c r="D136">
        <v>1</v>
      </c>
      <c r="E136">
        <v>1</v>
      </c>
      <c r="F136">
        <v>1</v>
      </c>
      <c r="G136">
        <v>1</v>
      </c>
      <c r="H136">
        <v>1</v>
      </c>
      <c r="I136">
        <v>1</v>
      </c>
      <c r="J136">
        <v>1</v>
      </c>
      <c r="K136">
        <v>1</v>
      </c>
      <c r="L136">
        <v>1</v>
      </c>
      <c r="M136">
        <v>1</v>
      </c>
      <c r="N136">
        <v>1</v>
      </c>
      <c r="O136">
        <v>1</v>
      </c>
      <c r="P136">
        <v>1</v>
      </c>
      <c r="Q136">
        <v>1</v>
      </c>
      <c r="R136">
        <v>1</v>
      </c>
      <c r="S136">
        <v>1</v>
      </c>
      <c r="T136">
        <v>1</v>
      </c>
      <c r="U136">
        <v>1</v>
      </c>
      <c r="V136">
        <v>1</v>
      </c>
      <c r="W136">
        <v>1</v>
      </c>
      <c r="X136">
        <v>1</v>
      </c>
      <c r="Y136">
        <v>1</v>
      </c>
      <c r="Z136">
        <v>1</v>
      </c>
      <c r="AA136">
        <v>1</v>
      </c>
      <c r="AB136">
        <v>-1</v>
      </c>
      <c r="AC136">
        <v>-1</v>
      </c>
      <c r="AD136">
        <v>-1</v>
      </c>
      <c r="AE136">
        <v>-1</v>
      </c>
      <c r="AF136">
        <v>-1</v>
      </c>
      <c r="AG136">
        <v>-1</v>
      </c>
      <c r="AH136">
        <v>-1</v>
      </c>
      <c r="AI136">
        <v>-1</v>
      </c>
      <c r="AJ136">
        <v>-1</v>
      </c>
      <c r="AK136">
        <v>-1</v>
      </c>
      <c r="AL136">
        <v>-1</v>
      </c>
      <c r="AM136">
        <v>-1</v>
      </c>
      <c r="AN136">
        <v>-1</v>
      </c>
      <c r="AO136">
        <v>-1</v>
      </c>
      <c r="AP136">
        <v>-1</v>
      </c>
      <c r="AQ136">
        <v>-1</v>
      </c>
      <c r="AR136">
        <v>-1</v>
      </c>
      <c r="AS136">
        <v>-1</v>
      </c>
      <c r="AT136">
        <v>-1</v>
      </c>
      <c r="AU136">
        <v>-1</v>
      </c>
      <c r="AV136">
        <v>-1</v>
      </c>
      <c r="AW136">
        <v>-1</v>
      </c>
      <c r="AX136">
        <v>-1</v>
      </c>
      <c r="AY136">
        <v>-1</v>
      </c>
      <c r="AZ136">
        <v>-1</v>
      </c>
      <c r="BA136">
        <v>-1</v>
      </c>
      <c r="BB136">
        <v>-1</v>
      </c>
      <c r="BC136">
        <v>-1</v>
      </c>
      <c r="BD136">
        <v>-1</v>
      </c>
      <c r="BE136">
        <v>-1</v>
      </c>
      <c r="BF136">
        <v>-1</v>
      </c>
      <c r="BG136">
        <v>-1</v>
      </c>
      <c r="BH136">
        <v>-1</v>
      </c>
      <c r="BI136">
        <v>-1</v>
      </c>
      <c r="BJ136">
        <v>-1</v>
      </c>
      <c r="BK136">
        <v>-1</v>
      </c>
      <c r="BL136">
        <v>-1</v>
      </c>
      <c r="BM136">
        <v>-1</v>
      </c>
      <c r="BN136">
        <v>-1</v>
      </c>
      <c r="BO136">
        <v>-1</v>
      </c>
      <c r="BP136">
        <v>-1</v>
      </c>
      <c r="BQ136">
        <v>-1</v>
      </c>
      <c r="BR136">
        <v>-1</v>
      </c>
      <c r="BS136">
        <v>-1</v>
      </c>
      <c r="BT136">
        <v>-1</v>
      </c>
      <c r="BU136">
        <v>-1</v>
      </c>
      <c r="BV136">
        <v>-1</v>
      </c>
      <c r="BW136">
        <v>-1</v>
      </c>
      <c r="BX136">
        <v>-1</v>
      </c>
      <c r="BY136">
        <v>-1</v>
      </c>
      <c r="BZ136">
        <v>-1</v>
      </c>
      <c r="CA136">
        <v>-1</v>
      </c>
      <c r="CB136">
        <v>-1</v>
      </c>
      <c r="CC136">
        <v>-1</v>
      </c>
      <c r="CD136">
        <v>-1</v>
      </c>
      <c r="CE136">
        <v>-1</v>
      </c>
      <c r="CF136">
        <v>-1</v>
      </c>
      <c r="CG136">
        <v>-1</v>
      </c>
      <c r="CH136">
        <v>-1</v>
      </c>
      <c r="CI136">
        <v>-1</v>
      </c>
      <c r="CJ136">
        <v>-1</v>
      </c>
      <c r="CK136">
        <v>-1</v>
      </c>
      <c r="CL136">
        <v>-1</v>
      </c>
      <c r="CM136">
        <v>-1</v>
      </c>
      <c r="CN136">
        <v>-1</v>
      </c>
      <c r="CO136">
        <v>-1</v>
      </c>
      <c r="CP136">
        <v>-1</v>
      </c>
      <c r="CQ136">
        <v>-1</v>
      </c>
      <c r="CR136">
        <v>-1</v>
      </c>
      <c r="CS136">
        <v>-1</v>
      </c>
      <c r="CT136">
        <v>-1</v>
      </c>
      <c r="CU136">
        <v>-1</v>
      </c>
      <c r="CV136">
        <v>-1</v>
      </c>
      <c r="CW136">
        <v>-1</v>
      </c>
      <c r="CX136" s="141"/>
      <c r="CY136">
        <v>1</v>
      </c>
      <c r="CZ136">
        <v>25</v>
      </c>
      <c r="DA136" t="s">
        <v>748</v>
      </c>
      <c r="DB136" t="s">
        <v>891</v>
      </c>
    </row>
    <row r="137" spans="1:107" x14ac:dyDescent="0.35">
      <c r="A137" t="s">
        <v>749</v>
      </c>
      <c r="B137">
        <v>0</v>
      </c>
      <c r="C137">
        <v>1</v>
      </c>
      <c r="D137">
        <v>1</v>
      </c>
      <c r="E137">
        <v>1</v>
      </c>
      <c r="F137">
        <v>1</v>
      </c>
      <c r="G137">
        <v>1</v>
      </c>
      <c r="H137">
        <v>1</v>
      </c>
      <c r="I137">
        <v>1</v>
      </c>
      <c r="J137">
        <v>1</v>
      </c>
      <c r="K137">
        <v>1</v>
      </c>
      <c r="L137">
        <v>1</v>
      </c>
      <c r="M137">
        <v>1</v>
      </c>
      <c r="N137">
        <v>1</v>
      </c>
      <c r="O137">
        <v>1</v>
      </c>
      <c r="P137">
        <v>1</v>
      </c>
      <c r="Q137">
        <v>1</v>
      </c>
      <c r="R137">
        <v>1</v>
      </c>
      <c r="S137">
        <v>1</v>
      </c>
      <c r="T137">
        <v>1</v>
      </c>
      <c r="U137">
        <v>1</v>
      </c>
      <c r="V137">
        <v>1</v>
      </c>
      <c r="W137">
        <v>1</v>
      </c>
      <c r="X137">
        <v>1</v>
      </c>
      <c r="Y137">
        <v>1</v>
      </c>
      <c r="Z137">
        <v>1</v>
      </c>
      <c r="AA137">
        <v>1</v>
      </c>
      <c r="AB137">
        <v>1</v>
      </c>
      <c r="AC137">
        <v>1</v>
      </c>
      <c r="AD137">
        <v>1</v>
      </c>
      <c r="AE137">
        <v>1</v>
      </c>
      <c r="AF137">
        <v>1</v>
      </c>
      <c r="AG137">
        <v>1</v>
      </c>
      <c r="AH137">
        <v>-1</v>
      </c>
      <c r="AI137">
        <v>-1</v>
      </c>
      <c r="AJ137">
        <v>-1</v>
      </c>
      <c r="AK137">
        <v>-1</v>
      </c>
      <c r="AL137">
        <v>-1</v>
      </c>
      <c r="AM137">
        <v>-1</v>
      </c>
      <c r="AN137">
        <v>-1</v>
      </c>
      <c r="AO137">
        <v>-1</v>
      </c>
      <c r="AP137">
        <v>-1</v>
      </c>
      <c r="AQ137">
        <v>-1</v>
      </c>
      <c r="AR137">
        <v>-1</v>
      </c>
      <c r="AS137">
        <v>-1</v>
      </c>
      <c r="AT137">
        <v>-1</v>
      </c>
      <c r="AU137">
        <v>-1</v>
      </c>
      <c r="AV137">
        <v>-1</v>
      </c>
      <c r="AW137">
        <v>-1</v>
      </c>
      <c r="AX137">
        <v>-1</v>
      </c>
      <c r="AY137">
        <v>-1</v>
      </c>
      <c r="AZ137">
        <v>-1</v>
      </c>
      <c r="BA137">
        <v>-1</v>
      </c>
      <c r="BB137">
        <v>-1</v>
      </c>
      <c r="BC137">
        <v>-1</v>
      </c>
      <c r="BD137">
        <v>-1</v>
      </c>
      <c r="BE137">
        <v>-1</v>
      </c>
      <c r="BF137">
        <v>-1</v>
      </c>
      <c r="BG137">
        <v>-1</v>
      </c>
      <c r="BH137">
        <v>-1</v>
      </c>
      <c r="BI137">
        <v>-1</v>
      </c>
      <c r="BJ137">
        <v>-1</v>
      </c>
      <c r="BK137">
        <v>-1</v>
      </c>
      <c r="BL137">
        <v>-1</v>
      </c>
      <c r="BM137">
        <v>-1</v>
      </c>
      <c r="BN137">
        <v>-1</v>
      </c>
      <c r="BO137">
        <v>-1</v>
      </c>
      <c r="BP137">
        <v>-1</v>
      </c>
      <c r="BQ137">
        <v>-1</v>
      </c>
      <c r="BR137">
        <v>-1</v>
      </c>
      <c r="BS137">
        <v>-1</v>
      </c>
      <c r="BT137">
        <v>-1</v>
      </c>
      <c r="BU137">
        <v>-1</v>
      </c>
      <c r="BV137">
        <v>-1</v>
      </c>
      <c r="BW137">
        <v>-1</v>
      </c>
      <c r="BX137">
        <v>-1</v>
      </c>
      <c r="BY137">
        <v>-1</v>
      </c>
      <c r="BZ137">
        <v>-1</v>
      </c>
      <c r="CA137">
        <v>-1</v>
      </c>
      <c r="CB137">
        <v>-1</v>
      </c>
      <c r="CC137">
        <v>-1</v>
      </c>
      <c r="CD137">
        <v>-1</v>
      </c>
      <c r="CE137">
        <v>-1</v>
      </c>
      <c r="CF137">
        <v>-1</v>
      </c>
      <c r="CG137">
        <v>-1</v>
      </c>
      <c r="CH137">
        <v>-1</v>
      </c>
      <c r="CI137">
        <v>-1</v>
      </c>
      <c r="CJ137">
        <v>-1</v>
      </c>
      <c r="CK137">
        <v>-1</v>
      </c>
      <c r="CL137">
        <v>-1</v>
      </c>
      <c r="CM137">
        <v>-1</v>
      </c>
      <c r="CN137">
        <v>-1</v>
      </c>
      <c r="CO137">
        <v>-1</v>
      </c>
      <c r="CP137">
        <v>-1</v>
      </c>
      <c r="CQ137">
        <v>-1</v>
      </c>
      <c r="CR137">
        <v>-1</v>
      </c>
      <c r="CS137">
        <v>-1</v>
      </c>
      <c r="CT137">
        <v>-1</v>
      </c>
      <c r="CU137">
        <v>-1</v>
      </c>
      <c r="CV137">
        <v>-1</v>
      </c>
      <c r="CW137">
        <v>-1</v>
      </c>
      <c r="CX137" s="141"/>
      <c r="CY137">
        <v>0.25</v>
      </c>
      <c r="CZ137">
        <v>30</v>
      </c>
      <c r="DA137" t="s">
        <v>749</v>
      </c>
      <c r="DB137" t="s">
        <v>890</v>
      </c>
    </row>
    <row r="138" spans="1:107" x14ac:dyDescent="0.35">
      <c r="A138" t="s">
        <v>750</v>
      </c>
      <c r="B138">
        <v>0</v>
      </c>
      <c r="C138">
        <v>0</v>
      </c>
      <c r="D138">
        <v>0</v>
      </c>
      <c r="E138">
        <v>0</v>
      </c>
      <c r="F138">
        <v>1</v>
      </c>
      <c r="G138">
        <v>1</v>
      </c>
      <c r="H138">
        <v>1</v>
      </c>
      <c r="I138">
        <v>1</v>
      </c>
      <c r="J138">
        <v>1</v>
      </c>
      <c r="K138">
        <v>1</v>
      </c>
      <c r="L138">
        <v>1</v>
      </c>
      <c r="M138">
        <v>1</v>
      </c>
      <c r="N138">
        <v>1</v>
      </c>
      <c r="O138">
        <v>1</v>
      </c>
      <c r="P138">
        <v>1</v>
      </c>
      <c r="Q138">
        <v>1</v>
      </c>
      <c r="R138">
        <v>1</v>
      </c>
      <c r="S138">
        <v>1</v>
      </c>
      <c r="T138">
        <v>1</v>
      </c>
      <c r="U138">
        <v>1</v>
      </c>
      <c r="V138">
        <v>1</v>
      </c>
      <c r="W138">
        <v>1</v>
      </c>
      <c r="X138">
        <v>1</v>
      </c>
      <c r="Y138">
        <v>1</v>
      </c>
      <c r="Z138">
        <v>1</v>
      </c>
      <c r="AA138">
        <v>1</v>
      </c>
      <c r="AB138">
        <v>1</v>
      </c>
      <c r="AC138">
        <v>1</v>
      </c>
      <c r="AD138">
        <v>1</v>
      </c>
      <c r="AE138">
        <v>1</v>
      </c>
      <c r="AF138">
        <v>1</v>
      </c>
      <c r="AG138">
        <v>1</v>
      </c>
      <c r="AH138">
        <v>1</v>
      </c>
      <c r="AI138">
        <v>1</v>
      </c>
      <c r="AJ138">
        <v>1</v>
      </c>
      <c r="AK138">
        <v>1</v>
      </c>
      <c r="AL138">
        <v>1</v>
      </c>
      <c r="AM138">
        <v>1</v>
      </c>
      <c r="AN138">
        <v>1</v>
      </c>
      <c r="AO138">
        <v>1</v>
      </c>
      <c r="AP138">
        <v>1</v>
      </c>
      <c r="AQ138">
        <v>1</v>
      </c>
      <c r="AR138">
        <v>1</v>
      </c>
      <c r="AS138">
        <v>1</v>
      </c>
      <c r="AT138">
        <v>1</v>
      </c>
      <c r="AU138">
        <v>-1</v>
      </c>
      <c r="AV138">
        <v>-1</v>
      </c>
      <c r="AW138">
        <v>-1</v>
      </c>
      <c r="AX138">
        <v>-1</v>
      </c>
      <c r="AY138">
        <v>-1</v>
      </c>
      <c r="AZ138">
        <v>-1</v>
      </c>
      <c r="BA138">
        <v>-1</v>
      </c>
      <c r="BB138">
        <v>-1</v>
      </c>
      <c r="BC138">
        <v>-1</v>
      </c>
      <c r="BD138">
        <v>-1</v>
      </c>
      <c r="BE138">
        <v>-1</v>
      </c>
      <c r="BF138">
        <v>-1</v>
      </c>
      <c r="BG138">
        <v>-1</v>
      </c>
      <c r="BH138">
        <v>-1</v>
      </c>
      <c r="BI138">
        <v>-1</v>
      </c>
      <c r="BJ138">
        <v>-1</v>
      </c>
      <c r="BK138">
        <v>-1</v>
      </c>
      <c r="BL138">
        <v>-1</v>
      </c>
      <c r="BM138">
        <v>-1</v>
      </c>
      <c r="BN138">
        <v>-1</v>
      </c>
      <c r="BO138">
        <v>-1</v>
      </c>
      <c r="BP138">
        <v>-1</v>
      </c>
      <c r="BQ138">
        <v>-1</v>
      </c>
      <c r="BR138">
        <v>-1</v>
      </c>
      <c r="BS138">
        <v>-1</v>
      </c>
      <c r="BT138">
        <v>-1</v>
      </c>
      <c r="BU138">
        <v>-1</v>
      </c>
      <c r="BV138">
        <v>-1</v>
      </c>
      <c r="BW138">
        <v>-1</v>
      </c>
      <c r="BX138">
        <v>-1</v>
      </c>
      <c r="BY138">
        <v>-1</v>
      </c>
      <c r="BZ138">
        <v>-1</v>
      </c>
      <c r="CA138">
        <v>-1</v>
      </c>
      <c r="CB138">
        <v>-1</v>
      </c>
      <c r="CC138">
        <v>-1</v>
      </c>
      <c r="CD138">
        <v>-1</v>
      </c>
      <c r="CE138">
        <v>-1</v>
      </c>
      <c r="CF138">
        <v>-1</v>
      </c>
      <c r="CG138">
        <v>-1</v>
      </c>
      <c r="CH138">
        <v>-1</v>
      </c>
      <c r="CI138">
        <v>-1</v>
      </c>
      <c r="CJ138">
        <v>-1</v>
      </c>
      <c r="CK138">
        <v>-1</v>
      </c>
      <c r="CL138">
        <v>-1</v>
      </c>
      <c r="CM138">
        <v>-1</v>
      </c>
      <c r="CN138">
        <v>-1</v>
      </c>
      <c r="CO138">
        <v>-1</v>
      </c>
      <c r="CP138">
        <v>-1</v>
      </c>
      <c r="CQ138">
        <v>-1</v>
      </c>
      <c r="CR138">
        <v>-1</v>
      </c>
      <c r="CS138">
        <v>-1</v>
      </c>
      <c r="CT138">
        <v>-1</v>
      </c>
      <c r="CU138">
        <v>-1</v>
      </c>
      <c r="CV138">
        <v>-1</v>
      </c>
      <c r="CW138">
        <v>-1</v>
      </c>
      <c r="CX138" s="141"/>
      <c r="CY138">
        <v>4</v>
      </c>
      <c r="CZ138">
        <v>40</v>
      </c>
      <c r="DA138" t="s">
        <v>750</v>
      </c>
      <c r="DB138" s="29" t="s">
        <v>885</v>
      </c>
    </row>
    <row r="139" spans="1:107" x14ac:dyDescent="0.35">
      <c r="A139" t="s">
        <v>751</v>
      </c>
      <c r="B139">
        <v>0</v>
      </c>
      <c r="C139">
        <v>0</v>
      </c>
      <c r="D139">
        <v>0</v>
      </c>
      <c r="E139">
        <v>0</v>
      </c>
      <c r="F139">
        <v>1</v>
      </c>
      <c r="G139">
        <v>1</v>
      </c>
      <c r="H139">
        <v>1</v>
      </c>
      <c r="I139">
        <v>1</v>
      </c>
      <c r="J139">
        <v>1</v>
      </c>
      <c r="K139">
        <v>1</v>
      </c>
      <c r="L139">
        <v>1</v>
      </c>
      <c r="M139">
        <v>1</v>
      </c>
      <c r="N139">
        <v>1</v>
      </c>
      <c r="O139">
        <v>1</v>
      </c>
      <c r="P139">
        <v>1</v>
      </c>
      <c r="Q139">
        <v>1</v>
      </c>
      <c r="R139">
        <v>1</v>
      </c>
      <c r="S139">
        <v>1</v>
      </c>
      <c r="T139">
        <v>1</v>
      </c>
      <c r="U139">
        <v>1</v>
      </c>
      <c r="V139">
        <v>1</v>
      </c>
      <c r="W139">
        <v>1</v>
      </c>
      <c r="X139">
        <v>1</v>
      </c>
      <c r="Y139">
        <v>1</v>
      </c>
      <c r="Z139">
        <v>1</v>
      </c>
      <c r="AA139">
        <v>1</v>
      </c>
      <c r="AB139">
        <v>1</v>
      </c>
      <c r="AC139">
        <v>1</v>
      </c>
      <c r="AD139">
        <v>1</v>
      </c>
      <c r="AE139">
        <v>1</v>
      </c>
      <c r="AF139">
        <v>1</v>
      </c>
      <c r="AG139">
        <v>1</v>
      </c>
      <c r="AH139">
        <v>1</v>
      </c>
      <c r="AI139">
        <v>1</v>
      </c>
      <c r="AJ139">
        <v>1</v>
      </c>
      <c r="AK139">
        <v>1</v>
      </c>
      <c r="AL139">
        <v>1</v>
      </c>
      <c r="AM139">
        <v>1</v>
      </c>
      <c r="AN139">
        <v>1</v>
      </c>
      <c r="AO139">
        <v>1</v>
      </c>
      <c r="AP139">
        <v>1</v>
      </c>
      <c r="AQ139">
        <v>1</v>
      </c>
      <c r="AR139">
        <v>1</v>
      </c>
      <c r="AS139">
        <v>1</v>
      </c>
      <c r="AT139">
        <v>1</v>
      </c>
      <c r="AU139">
        <v>-1</v>
      </c>
      <c r="AV139">
        <v>-1</v>
      </c>
      <c r="AW139">
        <v>-1</v>
      </c>
      <c r="AX139">
        <v>-1</v>
      </c>
      <c r="AY139">
        <v>-1</v>
      </c>
      <c r="AZ139">
        <v>-1</v>
      </c>
      <c r="BA139">
        <v>-1</v>
      </c>
      <c r="BB139">
        <v>-1</v>
      </c>
      <c r="BC139">
        <v>-1</v>
      </c>
      <c r="BD139">
        <v>-1</v>
      </c>
      <c r="BE139">
        <v>-1</v>
      </c>
      <c r="BF139">
        <v>-1</v>
      </c>
      <c r="BG139">
        <v>-1</v>
      </c>
      <c r="BH139">
        <v>-1</v>
      </c>
      <c r="BI139">
        <v>-1</v>
      </c>
      <c r="BJ139">
        <v>-1</v>
      </c>
      <c r="BK139">
        <v>-1</v>
      </c>
      <c r="BL139">
        <v>-1</v>
      </c>
      <c r="BM139">
        <v>-1</v>
      </c>
      <c r="BN139">
        <v>-1</v>
      </c>
      <c r="BO139">
        <v>-1</v>
      </c>
      <c r="BP139">
        <v>-1</v>
      </c>
      <c r="BQ139">
        <v>-1</v>
      </c>
      <c r="BR139">
        <v>-1</v>
      </c>
      <c r="BS139">
        <v>-1</v>
      </c>
      <c r="BT139">
        <v>-1</v>
      </c>
      <c r="BU139">
        <v>-1</v>
      </c>
      <c r="BV139">
        <v>-1</v>
      </c>
      <c r="BW139">
        <v>-1</v>
      </c>
      <c r="BX139">
        <v>-1</v>
      </c>
      <c r="BY139">
        <v>-1</v>
      </c>
      <c r="BZ139">
        <v>-1</v>
      </c>
      <c r="CA139">
        <v>-1</v>
      </c>
      <c r="CB139">
        <v>-1</v>
      </c>
      <c r="CC139">
        <v>-1</v>
      </c>
      <c r="CD139">
        <v>-1</v>
      </c>
      <c r="CE139">
        <v>-1</v>
      </c>
      <c r="CF139">
        <v>-1</v>
      </c>
      <c r="CG139">
        <v>-1</v>
      </c>
      <c r="CH139">
        <v>-1</v>
      </c>
      <c r="CI139">
        <v>-1</v>
      </c>
      <c r="CJ139">
        <v>-1</v>
      </c>
      <c r="CK139">
        <v>-1</v>
      </c>
      <c r="CL139">
        <v>-1</v>
      </c>
      <c r="CM139">
        <v>-1</v>
      </c>
      <c r="CN139">
        <v>-1</v>
      </c>
      <c r="CO139">
        <v>-1</v>
      </c>
      <c r="CP139">
        <v>-1</v>
      </c>
      <c r="CQ139">
        <v>-1</v>
      </c>
      <c r="CR139">
        <v>-1</v>
      </c>
      <c r="CS139">
        <v>-1</v>
      </c>
      <c r="CT139">
        <v>-1</v>
      </c>
      <c r="CU139">
        <v>-1</v>
      </c>
      <c r="CV139">
        <v>-1</v>
      </c>
      <c r="CW139">
        <v>-1</v>
      </c>
      <c r="CX139" s="141"/>
      <c r="CY139">
        <v>4</v>
      </c>
      <c r="CZ139">
        <v>40</v>
      </c>
      <c r="DA139" t="s">
        <v>751</v>
      </c>
      <c r="DB139" s="29" t="s">
        <v>885</v>
      </c>
    </row>
    <row r="140" spans="1:107" x14ac:dyDescent="0.35">
      <c r="A140" t="s">
        <v>752</v>
      </c>
      <c r="B140">
        <v>0</v>
      </c>
      <c r="C140">
        <v>0</v>
      </c>
      <c r="D140">
        <v>0</v>
      </c>
      <c r="E140">
        <v>0</v>
      </c>
      <c r="F140">
        <v>1</v>
      </c>
      <c r="G140">
        <v>1</v>
      </c>
      <c r="H140">
        <v>1</v>
      </c>
      <c r="I140">
        <v>1</v>
      </c>
      <c r="J140">
        <v>1</v>
      </c>
      <c r="K140">
        <v>1</v>
      </c>
      <c r="L140">
        <v>1</v>
      </c>
      <c r="M140">
        <v>1</v>
      </c>
      <c r="N140">
        <v>1</v>
      </c>
      <c r="O140">
        <v>1</v>
      </c>
      <c r="P140">
        <v>1</v>
      </c>
      <c r="Q140">
        <v>1</v>
      </c>
      <c r="R140">
        <v>1</v>
      </c>
      <c r="S140">
        <v>1</v>
      </c>
      <c r="T140">
        <v>1</v>
      </c>
      <c r="U140">
        <v>1</v>
      </c>
      <c r="V140">
        <v>1</v>
      </c>
      <c r="W140">
        <v>1</v>
      </c>
      <c r="X140">
        <v>1</v>
      </c>
      <c r="Y140">
        <v>1</v>
      </c>
      <c r="Z140">
        <v>1</v>
      </c>
      <c r="AA140">
        <v>1</v>
      </c>
      <c r="AB140">
        <v>1</v>
      </c>
      <c r="AC140">
        <v>1</v>
      </c>
      <c r="AD140">
        <v>1</v>
      </c>
      <c r="AE140">
        <v>1</v>
      </c>
      <c r="AF140">
        <v>1</v>
      </c>
      <c r="AG140">
        <v>1</v>
      </c>
      <c r="AH140">
        <v>1</v>
      </c>
      <c r="AI140">
        <v>1</v>
      </c>
      <c r="AJ140">
        <v>1</v>
      </c>
      <c r="AK140">
        <v>1</v>
      </c>
      <c r="AL140">
        <v>1</v>
      </c>
      <c r="AM140">
        <v>1</v>
      </c>
      <c r="AN140">
        <v>1</v>
      </c>
      <c r="AO140">
        <v>1</v>
      </c>
      <c r="AP140">
        <v>1</v>
      </c>
      <c r="AQ140">
        <v>1</v>
      </c>
      <c r="AR140">
        <v>1</v>
      </c>
      <c r="AS140">
        <v>1</v>
      </c>
      <c r="AT140">
        <v>1</v>
      </c>
      <c r="AU140">
        <v>-1</v>
      </c>
      <c r="AV140">
        <v>-1</v>
      </c>
      <c r="AW140">
        <v>-1</v>
      </c>
      <c r="AX140">
        <v>-1</v>
      </c>
      <c r="AY140">
        <v>-1</v>
      </c>
      <c r="AZ140">
        <v>-1</v>
      </c>
      <c r="BA140">
        <v>-1</v>
      </c>
      <c r="BB140">
        <v>-1</v>
      </c>
      <c r="BC140">
        <v>-1</v>
      </c>
      <c r="BD140">
        <v>-1</v>
      </c>
      <c r="BE140">
        <v>-1</v>
      </c>
      <c r="BF140">
        <v>-1</v>
      </c>
      <c r="BG140">
        <v>-1</v>
      </c>
      <c r="BH140">
        <v>-1</v>
      </c>
      <c r="BI140">
        <v>-1</v>
      </c>
      <c r="BJ140">
        <v>-1</v>
      </c>
      <c r="BK140">
        <v>-1</v>
      </c>
      <c r="BL140">
        <v>-1</v>
      </c>
      <c r="BM140">
        <v>-1</v>
      </c>
      <c r="BN140">
        <v>-1</v>
      </c>
      <c r="BO140">
        <v>-1</v>
      </c>
      <c r="BP140">
        <v>-1</v>
      </c>
      <c r="BQ140">
        <v>-1</v>
      </c>
      <c r="BR140">
        <v>-1</v>
      </c>
      <c r="BS140">
        <v>-1</v>
      </c>
      <c r="BT140">
        <v>-1</v>
      </c>
      <c r="BU140">
        <v>-1</v>
      </c>
      <c r="BV140">
        <v>-1</v>
      </c>
      <c r="BW140">
        <v>-1</v>
      </c>
      <c r="BX140">
        <v>-1</v>
      </c>
      <c r="BY140">
        <v>-1</v>
      </c>
      <c r="BZ140">
        <v>-1</v>
      </c>
      <c r="CA140">
        <v>-1</v>
      </c>
      <c r="CB140">
        <v>-1</v>
      </c>
      <c r="CC140">
        <v>-1</v>
      </c>
      <c r="CD140">
        <v>-1</v>
      </c>
      <c r="CE140">
        <v>-1</v>
      </c>
      <c r="CF140">
        <v>-1</v>
      </c>
      <c r="CG140">
        <v>-1</v>
      </c>
      <c r="CH140">
        <v>-1</v>
      </c>
      <c r="CI140">
        <v>-1</v>
      </c>
      <c r="CJ140">
        <v>-1</v>
      </c>
      <c r="CK140">
        <v>-1</v>
      </c>
      <c r="CL140">
        <v>-1</v>
      </c>
      <c r="CM140">
        <v>-1</v>
      </c>
      <c r="CN140">
        <v>-1</v>
      </c>
      <c r="CO140">
        <v>-1</v>
      </c>
      <c r="CP140">
        <v>-1</v>
      </c>
      <c r="CQ140">
        <v>-1</v>
      </c>
      <c r="CR140">
        <v>-1</v>
      </c>
      <c r="CS140">
        <v>-1</v>
      </c>
      <c r="CT140">
        <v>-1</v>
      </c>
      <c r="CU140">
        <v>-1</v>
      </c>
      <c r="CV140">
        <v>-1</v>
      </c>
      <c r="CW140">
        <v>-1</v>
      </c>
      <c r="CX140" s="141"/>
      <c r="CY140">
        <v>4</v>
      </c>
      <c r="CZ140">
        <v>40</v>
      </c>
      <c r="DA140" t="s">
        <v>752</v>
      </c>
      <c r="DB140" s="32" t="s">
        <v>885</v>
      </c>
    </row>
    <row r="141" spans="1:107" x14ac:dyDescent="0.35">
      <c r="A141" t="s">
        <v>753</v>
      </c>
      <c r="B141">
        <v>0</v>
      </c>
      <c r="C141">
        <v>0</v>
      </c>
      <c r="D141">
        <v>0</v>
      </c>
      <c r="E141">
        <v>0</v>
      </c>
      <c r="F141">
        <v>1</v>
      </c>
      <c r="G141">
        <v>1</v>
      </c>
      <c r="H141">
        <v>1</v>
      </c>
      <c r="I141">
        <v>1</v>
      </c>
      <c r="J141">
        <v>1</v>
      </c>
      <c r="K141">
        <v>1</v>
      </c>
      <c r="L141">
        <v>1</v>
      </c>
      <c r="M141">
        <v>1</v>
      </c>
      <c r="N141">
        <v>1</v>
      </c>
      <c r="O141">
        <v>1</v>
      </c>
      <c r="P141">
        <v>1</v>
      </c>
      <c r="Q141">
        <v>1</v>
      </c>
      <c r="R141">
        <v>1</v>
      </c>
      <c r="S141">
        <v>1</v>
      </c>
      <c r="T141">
        <v>1</v>
      </c>
      <c r="U141">
        <v>1</v>
      </c>
      <c r="V141">
        <v>1</v>
      </c>
      <c r="W141">
        <v>1</v>
      </c>
      <c r="X141">
        <v>1</v>
      </c>
      <c r="Y141">
        <v>1</v>
      </c>
      <c r="Z141">
        <v>1</v>
      </c>
      <c r="AA141">
        <v>1</v>
      </c>
      <c r="AB141">
        <v>1</v>
      </c>
      <c r="AC141">
        <v>1</v>
      </c>
      <c r="AD141">
        <v>1</v>
      </c>
      <c r="AE141">
        <v>1</v>
      </c>
      <c r="AF141">
        <v>1</v>
      </c>
      <c r="AG141">
        <v>1</v>
      </c>
      <c r="AH141">
        <v>1</v>
      </c>
      <c r="AI141">
        <v>1</v>
      </c>
      <c r="AJ141">
        <v>1</v>
      </c>
      <c r="AK141">
        <v>1</v>
      </c>
      <c r="AL141">
        <v>1</v>
      </c>
      <c r="AM141">
        <v>1</v>
      </c>
      <c r="AN141">
        <v>1</v>
      </c>
      <c r="AO141">
        <v>1</v>
      </c>
      <c r="AP141">
        <v>1</v>
      </c>
      <c r="AQ141">
        <v>1</v>
      </c>
      <c r="AR141">
        <v>1</v>
      </c>
      <c r="AS141">
        <v>1</v>
      </c>
      <c r="AT141">
        <v>1</v>
      </c>
      <c r="AU141">
        <v>-1</v>
      </c>
      <c r="AV141">
        <v>-1</v>
      </c>
      <c r="AW141">
        <v>-1</v>
      </c>
      <c r="AX141">
        <v>-1</v>
      </c>
      <c r="AY141">
        <v>-1</v>
      </c>
      <c r="AZ141">
        <v>-1</v>
      </c>
      <c r="BA141">
        <v>-1</v>
      </c>
      <c r="BB141">
        <v>-1</v>
      </c>
      <c r="BC141">
        <v>-1</v>
      </c>
      <c r="BD141">
        <v>-1</v>
      </c>
      <c r="BE141">
        <v>-1</v>
      </c>
      <c r="BF141">
        <v>-1</v>
      </c>
      <c r="BG141">
        <v>-1</v>
      </c>
      <c r="BH141">
        <v>-1</v>
      </c>
      <c r="BI141">
        <v>-1</v>
      </c>
      <c r="BJ141">
        <v>-1</v>
      </c>
      <c r="BK141">
        <v>-1</v>
      </c>
      <c r="BL141">
        <v>-1</v>
      </c>
      <c r="BM141">
        <v>-1</v>
      </c>
      <c r="BN141">
        <v>-1</v>
      </c>
      <c r="BO141">
        <v>-1</v>
      </c>
      <c r="BP141">
        <v>-1</v>
      </c>
      <c r="BQ141">
        <v>-1</v>
      </c>
      <c r="BR141">
        <v>-1</v>
      </c>
      <c r="BS141">
        <v>-1</v>
      </c>
      <c r="BT141">
        <v>-1</v>
      </c>
      <c r="BU141">
        <v>-1</v>
      </c>
      <c r="BV141">
        <v>-1</v>
      </c>
      <c r="BW141">
        <v>-1</v>
      </c>
      <c r="BX141">
        <v>-1</v>
      </c>
      <c r="BY141">
        <v>-1</v>
      </c>
      <c r="BZ141">
        <v>-1</v>
      </c>
      <c r="CA141">
        <v>-1</v>
      </c>
      <c r="CB141">
        <v>-1</v>
      </c>
      <c r="CC141">
        <v>-1</v>
      </c>
      <c r="CD141">
        <v>-1</v>
      </c>
      <c r="CE141">
        <v>-1</v>
      </c>
      <c r="CF141">
        <v>-1</v>
      </c>
      <c r="CG141">
        <v>-1</v>
      </c>
      <c r="CH141">
        <v>-1</v>
      </c>
      <c r="CI141">
        <v>-1</v>
      </c>
      <c r="CJ141">
        <v>-1</v>
      </c>
      <c r="CK141">
        <v>-1</v>
      </c>
      <c r="CL141">
        <v>-1</v>
      </c>
      <c r="CM141">
        <v>-1</v>
      </c>
      <c r="CN141">
        <v>-1</v>
      </c>
      <c r="CO141">
        <v>-1</v>
      </c>
      <c r="CP141">
        <v>-1</v>
      </c>
      <c r="CQ141">
        <v>-1</v>
      </c>
      <c r="CR141">
        <v>-1</v>
      </c>
      <c r="CS141">
        <v>-1</v>
      </c>
      <c r="CT141">
        <v>-1</v>
      </c>
      <c r="CU141">
        <v>-1</v>
      </c>
      <c r="CV141">
        <v>-1</v>
      </c>
      <c r="CW141">
        <v>-1</v>
      </c>
      <c r="CX141" s="141"/>
      <c r="CY141">
        <v>4</v>
      </c>
      <c r="CZ141">
        <v>40</v>
      </c>
      <c r="DA141" t="s">
        <v>753</v>
      </c>
      <c r="DB141" s="32" t="s">
        <v>885</v>
      </c>
    </row>
    <row r="142" spans="1:107" x14ac:dyDescent="0.35">
      <c r="A142" t="s">
        <v>754</v>
      </c>
      <c r="B142">
        <v>0</v>
      </c>
      <c r="C142">
        <v>0</v>
      </c>
      <c r="D142">
        <v>1</v>
      </c>
      <c r="E142">
        <v>1</v>
      </c>
      <c r="F142">
        <v>1</v>
      </c>
      <c r="G142">
        <v>1</v>
      </c>
      <c r="H142">
        <v>1</v>
      </c>
      <c r="I142">
        <v>1</v>
      </c>
      <c r="J142">
        <v>1</v>
      </c>
      <c r="K142">
        <v>1</v>
      </c>
      <c r="L142">
        <v>1</v>
      </c>
      <c r="M142">
        <v>1</v>
      </c>
      <c r="N142">
        <v>1</v>
      </c>
      <c r="O142">
        <v>1</v>
      </c>
      <c r="P142">
        <v>1</v>
      </c>
      <c r="Q142">
        <v>1</v>
      </c>
      <c r="R142">
        <v>1</v>
      </c>
      <c r="S142">
        <v>1</v>
      </c>
      <c r="T142">
        <v>1</v>
      </c>
      <c r="U142">
        <v>1</v>
      </c>
      <c r="V142">
        <v>1</v>
      </c>
      <c r="W142">
        <v>1</v>
      </c>
      <c r="X142">
        <v>1</v>
      </c>
      <c r="Y142">
        <v>1</v>
      </c>
      <c r="Z142">
        <v>1</v>
      </c>
      <c r="AA142">
        <v>1</v>
      </c>
      <c r="AB142">
        <v>1</v>
      </c>
      <c r="AC142">
        <v>1</v>
      </c>
      <c r="AD142">
        <v>1</v>
      </c>
      <c r="AE142">
        <v>1</v>
      </c>
      <c r="AF142">
        <v>1</v>
      </c>
      <c r="AG142">
        <v>1</v>
      </c>
      <c r="AH142">
        <v>-1</v>
      </c>
      <c r="AI142">
        <v>-1</v>
      </c>
      <c r="AJ142">
        <v>-1</v>
      </c>
      <c r="AK142">
        <v>-1</v>
      </c>
      <c r="AL142">
        <v>-1</v>
      </c>
      <c r="AM142">
        <v>-1</v>
      </c>
      <c r="AN142">
        <v>-1</v>
      </c>
      <c r="AO142">
        <v>-1</v>
      </c>
      <c r="AP142">
        <v>-1</v>
      </c>
      <c r="AQ142">
        <v>-1</v>
      </c>
      <c r="AR142">
        <v>-1</v>
      </c>
      <c r="AS142">
        <v>-1</v>
      </c>
      <c r="AT142">
        <v>-1</v>
      </c>
      <c r="AU142">
        <v>-1</v>
      </c>
      <c r="AV142">
        <v>-1</v>
      </c>
      <c r="AW142">
        <v>-1</v>
      </c>
      <c r="AX142">
        <v>-1</v>
      </c>
      <c r="AY142">
        <v>-1</v>
      </c>
      <c r="AZ142">
        <v>-1</v>
      </c>
      <c r="BA142">
        <v>-1</v>
      </c>
      <c r="BB142">
        <v>-1</v>
      </c>
      <c r="BC142">
        <v>-1</v>
      </c>
      <c r="BD142">
        <v>-1</v>
      </c>
      <c r="BE142">
        <v>-1</v>
      </c>
      <c r="BF142">
        <v>-1</v>
      </c>
      <c r="BG142">
        <v>-1</v>
      </c>
      <c r="BH142">
        <v>-1</v>
      </c>
      <c r="BI142">
        <v>-1</v>
      </c>
      <c r="BJ142">
        <v>-1</v>
      </c>
      <c r="BK142">
        <v>-1</v>
      </c>
      <c r="BL142">
        <v>-1</v>
      </c>
      <c r="BM142">
        <v>-1</v>
      </c>
      <c r="BN142">
        <v>-1</v>
      </c>
      <c r="BO142">
        <v>-1</v>
      </c>
      <c r="BP142">
        <v>-1</v>
      </c>
      <c r="BQ142">
        <v>-1</v>
      </c>
      <c r="BR142">
        <v>-1</v>
      </c>
      <c r="BS142">
        <v>-1</v>
      </c>
      <c r="BT142">
        <v>-1</v>
      </c>
      <c r="BU142">
        <v>-1</v>
      </c>
      <c r="BV142">
        <v>-1</v>
      </c>
      <c r="BW142">
        <v>-1</v>
      </c>
      <c r="BX142">
        <v>-1</v>
      </c>
      <c r="BY142">
        <v>-1</v>
      </c>
      <c r="BZ142">
        <v>-1</v>
      </c>
      <c r="CA142">
        <v>-1</v>
      </c>
      <c r="CB142">
        <v>-1</v>
      </c>
      <c r="CC142">
        <v>-1</v>
      </c>
      <c r="CD142">
        <v>-1</v>
      </c>
      <c r="CE142">
        <v>-1</v>
      </c>
      <c r="CF142">
        <v>-1</v>
      </c>
      <c r="CG142">
        <v>-1</v>
      </c>
      <c r="CH142">
        <v>-1</v>
      </c>
      <c r="CI142">
        <v>-1</v>
      </c>
      <c r="CJ142">
        <v>-1</v>
      </c>
      <c r="CK142">
        <v>-1</v>
      </c>
      <c r="CL142">
        <v>-1</v>
      </c>
      <c r="CM142">
        <v>-1</v>
      </c>
      <c r="CN142">
        <v>-1</v>
      </c>
      <c r="CO142">
        <v>-1</v>
      </c>
      <c r="CP142">
        <v>-1</v>
      </c>
      <c r="CQ142">
        <v>-1</v>
      </c>
      <c r="CR142">
        <v>-1</v>
      </c>
      <c r="CS142">
        <v>-1</v>
      </c>
      <c r="CT142">
        <v>-1</v>
      </c>
      <c r="CU142">
        <v>-1</v>
      </c>
      <c r="CV142">
        <v>-1</v>
      </c>
      <c r="CW142">
        <v>-1</v>
      </c>
      <c r="CX142" s="141"/>
      <c r="CY142">
        <v>2</v>
      </c>
      <c r="CZ142">
        <v>30</v>
      </c>
      <c r="DA142" t="s">
        <v>754</v>
      </c>
      <c r="DB142" t="s">
        <v>882</v>
      </c>
    </row>
    <row r="143" spans="1:107" x14ac:dyDescent="0.35">
      <c r="A143" t="s">
        <v>755</v>
      </c>
      <c r="B143">
        <v>0</v>
      </c>
      <c r="C143">
        <v>0</v>
      </c>
      <c r="D143">
        <v>1</v>
      </c>
      <c r="E143">
        <v>1</v>
      </c>
      <c r="F143">
        <v>1</v>
      </c>
      <c r="G143">
        <v>1</v>
      </c>
      <c r="H143">
        <v>1</v>
      </c>
      <c r="I143">
        <v>1</v>
      </c>
      <c r="J143">
        <v>1</v>
      </c>
      <c r="K143">
        <v>1</v>
      </c>
      <c r="L143">
        <v>1</v>
      </c>
      <c r="M143">
        <v>1</v>
      </c>
      <c r="N143">
        <v>1</v>
      </c>
      <c r="O143">
        <v>1</v>
      </c>
      <c r="P143">
        <v>1</v>
      </c>
      <c r="Q143">
        <v>1</v>
      </c>
      <c r="R143">
        <v>1</v>
      </c>
      <c r="S143">
        <v>1</v>
      </c>
      <c r="T143">
        <v>1</v>
      </c>
      <c r="U143">
        <v>1</v>
      </c>
      <c r="V143">
        <v>1</v>
      </c>
      <c r="W143">
        <v>1</v>
      </c>
      <c r="X143">
        <v>1</v>
      </c>
      <c r="Y143">
        <v>1</v>
      </c>
      <c r="Z143">
        <v>1</v>
      </c>
      <c r="AA143">
        <v>1</v>
      </c>
      <c r="AB143">
        <v>1</v>
      </c>
      <c r="AC143">
        <v>1</v>
      </c>
      <c r="AD143">
        <v>1</v>
      </c>
      <c r="AE143">
        <v>1</v>
      </c>
      <c r="AF143">
        <v>1</v>
      </c>
      <c r="AG143">
        <v>1</v>
      </c>
      <c r="AH143">
        <v>-1</v>
      </c>
      <c r="AI143">
        <v>-1</v>
      </c>
      <c r="AJ143">
        <v>-1</v>
      </c>
      <c r="AK143">
        <v>-1</v>
      </c>
      <c r="AL143">
        <v>-1</v>
      </c>
      <c r="AM143">
        <v>-1</v>
      </c>
      <c r="AN143">
        <v>-1</v>
      </c>
      <c r="AO143">
        <v>-1</v>
      </c>
      <c r="AP143">
        <v>-1</v>
      </c>
      <c r="AQ143">
        <v>-1</v>
      </c>
      <c r="AR143">
        <v>-1</v>
      </c>
      <c r="AS143">
        <v>-1</v>
      </c>
      <c r="AT143">
        <v>-1</v>
      </c>
      <c r="AU143">
        <v>-1</v>
      </c>
      <c r="AV143">
        <v>-1</v>
      </c>
      <c r="AW143">
        <v>-1</v>
      </c>
      <c r="AX143">
        <v>-1</v>
      </c>
      <c r="AY143">
        <v>-1</v>
      </c>
      <c r="AZ143">
        <v>-1</v>
      </c>
      <c r="BA143">
        <v>-1</v>
      </c>
      <c r="BB143">
        <v>-1</v>
      </c>
      <c r="BC143">
        <v>-1</v>
      </c>
      <c r="BD143">
        <v>-1</v>
      </c>
      <c r="BE143">
        <v>-1</v>
      </c>
      <c r="BF143">
        <v>-1</v>
      </c>
      <c r="BG143">
        <v>-1</v>
      </c>
      <c r="BH143">
        <v>-1</v>
      </c>
      <c r="BI143">
        <v>-1</v>
      </c>
      <c r="BJ143">
        <v>-1</v>
      </c>
      <c r="BK143">
        <v>-1</v>
      </c>
      <c r="BL143">
        <v>-1</v>
      </c>
      <c r="BM143">
        <v>-1</v>
      </c>
      <c r="BN143">
        <v>-1</v>
      </c>
      <c r="BO143">
        <v>-1</v>
      </c>
      <c r="BP143">
        <v>-1</v>
      </c>
      <c r="BQ143">
        <v>-1</v>
      </c>
      <c r="BR143">
        <v>-1</v>
      </c>
      <c r="BS143">
        <v>-1</v>
      </c>
      <c r="BT143">
        <v>-1</v>
      </c>
      <c r="BU143">
        <v>-1</v>
      </c>
      <c r="BV143">
        <v>-1</v>
      </c>
      <c r="BW143">
        <v>-1</v>
      </c>
      <c r="BX143">
        <v>-1</v>
      </c>
      <c r="BY143">
        <v>-1</v>
      </c>
      <c r="BZ143">
        <v>-1</v>
      </c>
      <c r="CA143">
        <v>-1</v>
      </c>
      <c r="CB143">
        <v>-1</v>
      </c>
      <c r="CC143">
        <v>-1</v>
      </c>
      <c r="CD143">
        <v>-1</v>
      </c>
      <c r="CE143">
        <v>-1</v>
      </c>
      <c r="CF143">
        <v>-1</v>
      </c>
      <c r="CG143">
        <v>-1</v>
      </c>
      <c r="CH143">
        <v>-1</v>
      </c>
      <c r="CI143">
        <v>-1</v>
      </c>
      <c r="CJ143">
        <v>-1</v>
      </c>
      <c r="CK143">
        <v>-1</v>
      </c>
      <c r="CL143">
        <v>-1</v>
      </c>
      <c r="CM143">
        <v>-1</v>
      </c>
      <c r="CN143">
        <v>-1</v>
      </c>
      <c r="CO143">
        <v>-1</v>
      </c>
      <c r="CP143">
        <v>-1</v>
      </c>
      <c r="CQ143">
        <v>-1</v>
      </c>
      <c r="CR143">
        <v>-1</v>
      </c>
      <c r="CS143">
        <v>-1</v>
      </c>
      <c r="CT143">
        <v>-1</v>
      </c>
      <c r="CU143">
        <v>-1</v>
      </c>
      <c r="CV143">
        <v>-1</v>
      </c>
      <c r="CW143">
        <v>-1</v>
      </c>
      <c r="CX143" s="141"/>
      <c r="CY143">
        <v>2</v>
      </c>
      <c r="CZ143">
        <v>30</v>
      </c>
      <c r="DA143" t="s">
        <v>755</v>
      </c>
      <c r="DB143" t="s">
        <v>882</v>
      </c>
    </row>
    <row r="144" spans="1:107" x14ac:dyDescent="0.35">
      <c r="A144" t="s">
        <v>756</v>
      </c>
      <c r="B144">
        <v>0</v>
      </c>
      <c r="C144">
        <v>0</v>
      </c>
      <c r="D144">
        <v>0</v>
      </c>
      <c r="E144">
        <v>0</v>
      </c>
      <c r="F144">
        <v>0</v>
      </c>
      <c r="G144">
        <v>1</v>
      </c>
      <c r="H144">
        <v>1</v>
      </c>
      <c r="I144">
        <v>1</v>
      </c>
      <c r="J144">
        <v>1</v>
      </c>
      <c r="K144">
        <v>1</v>
      </c>
      <c r="L144">
        <v>1</v>
      </c>
      <c r="M144">
        <v>1</v>
      </c>
      <c r="N144">
        <v>1</v>
      </c>
      <c r="O144">
        <v>1</v>
      </c>
      <c r="P144">
        <v>1</v>
      </c>
      <c r="Q144">
        <v>1</v>
      </c>
      <c r="R144">
        <v>1</v>
      </c>
      <c r="S144">
        <v>1</v>
      </c>
      <c r="T144">
        <v>1</v>
      </c>
      <c r="U144">
        <v>1</v>
      </c>
      <c r="V144">
        <v>1</v>
      </c>
      <c r="W144">
        <v>1</v>
      </c>
      <c r="X144">
        <v>1</v>
      </c>
      <c r="Y144">
        <v>1</v>
      </c>
      <c r="Z144">
        <v>1</v>
      </c>
      <c r="AA144">
        <v>1</v>
      </c>
      <c r="AB144">
        <v>1</v>
      </c>
      <c r="AC144">
        <v>1</v>
      </c>
      <c r="AD144">
        <v>1</v>
      </c>
      <c r="AE144">
        <v>1</v>
      </c>
      <c r="AF144">
        <v>1</v>
      </c>
      <c r="AG144">
        <v>-1</v>
      </c>
      <c r="AH144">
        <v>-1</v>
      </c>
      <c r="AI144">
        <v>-1</v>
      </c>
      <c r="AJ144">
        <v>-1</v>
      </c>
      <c r="AK144">
        <v>-1</v>
      </c>
      <c r="AL144">
        <v>-1</v>
      </c>
      <c r="AM144">
        <v>-1</v>
      </c>
      <c r="AN144">
        <v>-1</v>
      </c>
      <c r="AO144">
        <v>-1</v>
      </c>
      <c r="AP144">
        <v>-1</v>
      </c>
      <c r="AQ144">
        <v>-1</v>
      </c>
      <c r="AR144">
        <v>-1</v>
      </c>
      <c r="AS144">
        <v>-1</v>
      </c>
      <c r="AT144">
        <v>-1</v>
      </c>
      <c r="AU144">
        <v>-1</v>
      </c>
      <c r="AV144">
        <v>-1</v>
      </c>
      <c r="AW144">
        <v>-1</v>
      </c>
      <c r="AX144">
        <v>-1</v>
      </c>
      <c r="AY144">
        <v>-1</v>
      </c>
      <c r="AZ144">
        <v>-1</v>
      </c>
      <c r="BA144">
        <v>-1</v>
      </c>
      <c r="BB144">
        <v>-1</v>
      </c>
      <c r="BC144">
        <v>-1</v>
      </c>
      <c r="BD144">
        <v>-1</v>
      </c>
      <c r="BE144">
        <v>-1</v>
      </c>
      <c r="BF144">
        <v>-1</v>
      </c>
      <c r="BG144">
        <v>-1</v>
      </c>
      <c r="BH144">
        <v>-1</v>
      </c>
      <c r="BI144">
        <v>-1</v>
      </c>
      <c r="BJ144">
        <v>-1</v>
      </c>
      <c r="BK144">
        <v>-1</v>
      </c>
      <c r="BL144">
        <v>-1</v>
      </c>
      <c r="BM144">
        <v>-1</v>
      </c>
      <c r="BN144">
        <v>-1</v>
      </c>
      <c r="BO144">
        <v>-1</v>
      </c>
      <c r="BP144">
        <v>-1</v>
      </c>
      <c r="BQ144">
        <v>-1</v>
      </c>
      <c r="BR144">
        <v>-1</v>
      </c>
      <c r="BS144">
        <v>-1</v>
      </c>
      <c r="BT144">
        <v>-1</v>
      </c>
      <c r="BU144">
        <v>-1</v>
      </c>
      <c r="BV144">
        <v>-1</v>
      </c>
      <c r="BW144">
        <v>-1</v>
      </c>
      <c r="BX144">
        <v>-1</v>
      </c>
      <c r="BY144">
        <v>-1</v>
      </c>
      <c r="BZ144">
        <v>-1</v>
      </c>
      <c r="CA144">
        <v>-1</v>
      </c>
      <c r="CB144">
        <v>-1</v>
      </c>
      <c r="CC144">
        <v>-1</v>
      </c>
      <c r="CD144">
        <v>-1</v>
      </c>
      <c r="CE144">
        <v>-1</v>
      </c>
      <c r="CF144">
        <v>-1</v>
      </c>
      <c r="CG144">
        <v>-1</v>
      </c>
      <c r="CH144">
        <v>-1</v>
      </c>
      <c r="CI144">
        <v>-1</v>
      </c>
      <c r="CJ144">
        <v>-1</v>
      </c>
      <c r="CK144">
        <v>-1</v>
      </c>
      <c r="CL144">
        <v>-1</v>
      </c>
      <c r="CM144">
        <v>-1</v>
      </c>
      <c r="CN144">
        <v>-1</v>
      </c>
      <c r="CO144">
        <v>-1</v>
      </c>
      <c r="CP144">
        <v>-1</v>
      </c>
      <c r="CQ144">
        <v>-1</v>
      </c>
      <c r="CR144">
        <v>-1</v>
      </c>
      <c r="CS144">
        <v>-1</v>
      </c>
      <c r="CT144">
        <v>-1</v>
      </c>
      <c r="CU144">
        <v>-1</v>
      </c>
      <c r="CV144">
        <v>-1</v>
      </c>
      <c r="CW144">
        <v>-1</v>
      </c>
      <c r="CX144" s="141"/>
      <c r="CY144">
        <v>5</v>
      </c>
      <c r="CZ144">
        <v>25</v>
      </c>
      <c r="DA144" t="s">
        <v>756</v>
      </c>
      <c r="DC144" t="s">
        <v>900</v>
      </c>
    </row>
    <row r="145" spans="1:107" x14ac:dyDescent="0.35">
      <c r="A145" t="s">
        <v>757</v>
      </c>
      <c r="B145">
        <v>0</v>
      </c>
      <c r="C145">
        <v>0</v>
      </c>
      <c r="D145">
        <v>0</v>
      </c>
      <c r="E145">
        <v>0</v>
      </c>
      <c r="F145">
        <v>0</v>
      </c>
      <c r="G145">
        <v>1</v>
      </c>
      <c r="H145">
        <v>1</v>
      </c>
      <c r="I145">
        <v>1</v>
      </c>
      <c r="J145">
        <v>1</v>
      </c>
      <c r="K145">
        <v>1</v>
      </c>
      <c r="L145">
        <v>1</v>
      </c>
      <c r="M145">
        <v>1</v>
      </c>
      <c r="N145">
        <v>1</v>
      </c>
      <c r="O145">
        <v>1</v>
      </c>
      <c r="P145">
        <v>1</v>
      </c>
      <c r="Q145">
        <v>1</v>
      </c>
      <c r="R145">
        <v>1</v>
      </c>
      <c r="S145">
        <v>1</v>
      </c>
      <c r="T145">
        <v>1</v>
      </c>
      <c r="U145">
        <v>1</v>
      </c>
      <c r="V145">
        <v>1</v>
      </c>
      <c r="W145">
        <v>1</v>
      </c>
      <c r="X145">
        <v>1</v>
      </c>
      <c r="Y145">
        <v>1</v>
      </c>
      <c r="Z145">
        <v>1</v>
      </c>
      <c r="AA145">
        <v>1</v>
      </c>
      <c r="AB145">
        <v>1</v>
      </c>
      <c r="AC145">
        <v>1</v>
      </c>
      <c r="AD145">
        <v>1</v>
      </c>
      <c r="AE145">
        <v>1</v>
      </c>
      <c r="AF145">
        <v>1</v>
      </c>
      <c r="AG145">
        <v>1</v>
      </c>
      <c r="AH145">
        <v>1</v>
      </c>
      <c r="AI145">
        <v>1</v>
      </c>
      <c r="AJ145">
        <v>1</v>
      </c>
      <c r="AK145">
        <v>1</v>
      </c>
      <c r="AL145">
        <v>1</v>
      </c>
      <c r="AM145">
        <v>1</v>
      </c>
      <c r="AN145">
        <v>1</v>
      </c>
      <c r="AO145">
        <v>1</v>
      </c>
      <c r="AP145">
        <v>1</v>
      </c>
      <c r="AQ145">
        <v>1</v>
      </c>
      <c r="AR145">
        <v>1</v>
      </c>
      <c r="AS145">
        <v>1</v>
      </c>
      <c r="AT145">
        <v>1</v>
      </c>
      <c r="AU145">
        <v>1</v>
      </c>
      <c r="AV145">
        <v>1</v>
      </c>
      <c r="AW145">
        <v>1</v>
      </c>
      <c r="AX145">
        <v>1</v>
      </c>
      <c r="AY145">
        <v>1</v>
      </c>
      <c r="AZ145">
        <v>1</v>
      </c>
      <c r="BA145">
        <v>1</v>
      </c>
      <c r="BB145">
        <v>1</v>
      </c>
      <c r="BC145">
        <v>1</v>
      </c>
      <c r="BD145">
        <v>1</v>
      </c>
      <c r="BE145">
        <v>1</v>
      </c>
      <c r="BF145">
        <v>1</v>
      </c>
      <c r="BG145">
        <v>1</v>
      </c>
      <c r="BH145">
        <v>1</v>
      </c>
      <c r="BI145">
        <v>1</v>
      </c>
      <c r="BJ145">
        <v>1</v>
      </c>
      <c r="BK145">
        <v>1</v>
      </c>
      <c r="BL145">
        <v>1</v>
      </c>
      <c r="BM145">
        <v>1</v>
      </c>
      <c r="BN145">
        <v>1</v>
      </c>
      <c r="BO145">
        <v>1</v>
      </c>
      <c r="BP145">
        <v>1</v>
      </c>
      <c r="BQ145">
        <v>1</v>
      </c>
      <c r="BR145">
        <v>1</v>
      </c>
      <c r="BS145">
        <v>1</v>
      </c>
      <c r="BT145">
        <v>1</v>
      </c>
      <c r="BU145">
        <v>1</v>
      </c>
      <c r="BV145">
        <v>1</v>
      </c>
      <c r="BW145">
        <v>1</v>
      </c>
      <c r="BX145">
        <v>1</v>
      </c>
      <c r="BY145">
        <v>1</v>
      </c>
      <c r="BZ145">
        <v>1</v>
      </c>
      <c r="CA145">
        <v>1</v>
      </c>
      <c r="CB145">
        <v>1</v>
      </c>
      <c r="CC145">
        <v>1</v>
      </c>
      <c r="CD145">
        <v>1</v>
      </c>
      <c r="CE145">
        <v>1</v>
      </c>
      <c r="CF145">
        <v>1</v>
      </c>
      <c r="CG145">
        <v>1</v>
      </c>
      <c r="CH145">
        <v>1</v>
      </c>
      <c r="CI145">
        <v>1</v>
      </c>
      <c r="CJ145">
        <v>1</v>
      </c>
      <c r="CK145">
        <v>1</v>
      </c>
      <c r="CL145">
        <v>1</v>
      </c>
      <c r="CM145">
        <v>1</v>
      </c>
      <c r="CN145">
        <v>1</v>
      </c>
      <c r="CO145">
        <v>1</v>
      </c>
      <c r="CP145">
        <v>1</v>
      </c>
      <c r="CQ145">
        <v>1</v>
      </c>
      <c r="CR145">
        <v>1</v>
      </c>
      <c r="CS145">
        <v>-1</v>
      </c>
      <c r="CT145">
        <v>-1</v>
      </c>
      <c r="CU145">
        <v>-1</v>
      </c>
      <c r="CV145">
        <v>-1</v>
      </c>
      <c r="CW145">
        <v>-1</v>
      </c>
      <c r="CX145" s="141"/>
      <c r="CY145">
        <v>5</v>
      </c>
      <c r="CZ145">
        <v>90</v>
      </c>
      <c r="DA145" t="s">
        <v>757</v>
      </c>
      <c r="DC145" t="s">
        <v>899</v>
      </c>
    </row>
    <row r="146" spans="1:107" x14ac:dyDescent="0.35">
      <c r="A146" t="s">
        <v>758</v>
      </c>
      <c r="B146">
        <v>0</v>
      </c>
      <c r="C146">
        <v>1</v>
      </c>
      <c r="D146">
        <v>1</v>
      </c>
      <c r="E146">
        <v>1</v>
      </c>
      <c r="F146">
        <v>1</v>
      </c>
      <c r="G146">
        <v>1</v>
      </c>
      <c r="H146">
        <v>1</v>
      </c>
      <c r="I146">
        <v>1</v>
      </c>
      <c r="J146">
        <v>1</v>
      </c>
      <c r="K146">
        <v>1</v>
      </c>
      <c r="L146">
        <v>1</v>
      </c>
      <c r="M146">
        <v>1</v>
      </c>
      <c r="N146">
        <v>1</v>
      </c>
      <c r="O146">
        <v>1</v>
      </c>
      <c r="P146">
        <v>1</v>
      </c>
      <c r="Q146">
        <v>1</v>
      </c>
      <c r="R146">
        <v>1</v>
      </c>
      <c r="S146">
        <v>1</v>
      </c>
      <c r="T146">
        <v>1</v>
      </c>
      <c r="U146">
        <v>1</v>
      </c>
      <c r="V146">
        <v>1</v>
      </c>
      <c r="W146">
        <v>1</v>
      </c>
      <c r="X146">
        <v>1</v>
      </c>
      <c r="Y146">
        <v>1</v>
      </c>
      <c r="Z146">
        <v>1</v>
      </c>
      <c r="AA146">
        <v>1</v>
      </c>
      <c r="AB146">
        <v>1</v>
      </c>
      <c r="AC146">
        <v>1</v>
      </c>
      <c r="AD146">
        <v>1</v>
      </c>
      <c r="AE146">
        <v>1</v>
      </c>
      <c r="AF146">
        <v>1</v>
      </c>
      <c r="AG146">
        <v>1</v>
      </c>
      <c r="AH146">
        <v>1</v>
      </c>
      <c r="AI146">
        <v>1</v>
      </c>
      <c r="AJ146">
        <v>1</v>
      </c>
      <c r="AK146">
        <v>1</v>
      </c>
      <c r="AL146">
        <v>1</v>
      </c>
      <c r="AM146">
        <v>1</v>
      </c>
      <c r="AN146">
        <v>1</v>
      </c>
      <c r="AO146">
        <v>1</v>
      </c>
      <c r="AP146">
        <v>1</v>
      </c>
      <c r="AQ146">
        <v>1</v>
      </c>
      <c r="AR146">
        <v>1</v>
      </c>
      <c r="AS146">
        <v>1</v>
      </c>
      <c r="AT146">
        <v>1</v>
      </c>
      <c r="AU146">
        <v>1</v>
      </c>
      <c r="AV146">
        <v>1</v>
      </c>
      <c r="AW146">
        <v>1</v>
      </c>
      <c r="AX146">
        <v>1</v>
      </c>
      <c r="AY146">
        <v>1</v>
      </c>
      <c r="AZ146">
        <v>1</v>
      </c>
      <c r="BA146">
        <v>1</v>
      </c>
      <c r="BB146">
        <v>1</v>
      </c>
      <c r="BC146">
        <v>1</v>
      </c>
      <c r="BD146">
        <v>1</v>
      </c>
      <c r="BE146">
        <v>1</v>
      </c>
      <c r="BF146">
        <v>1</v>
      </c>
      <c r="BG146">
        <v>1</v>
      </c>
      <c r="BH146">
        <v>1</v>
      </c>
      <c r="BI146">
        <v>1</v>
      </c>
      <c r="BJ146">
        <v>1</v>
      </c>
      <c r="BK146">
        <v>1</v>
      </c>
      <c r="BL146">
        <v>1</v>
      </c>
      <c r="BM146">
        <v>1</v>
      </c>
      <c r="BN146">
        <v>1</v>
      </c>
      <c r="BO146">
        <v>1</v>
      </c>
      <c r="BP146">
        <v>1</v>
      </c>
      <c r="BQ146">
        <v>1</v>
      </c>
      <c r="BR146">
        <v>1</v>
      </c>
      <c r="BS146">
        <v>1</v>
      </c>
      <c r="BT146">
        <v>1</v>
      </c>
      <c r="BU146">
        <v>1</v>
      </c>
      <c r="BV146">
        <v>1</v>
      </c>
      <c r="BW146">
        <v>1</v>
      </c>
      <c r="BX146">
        <v>1</v>
      </c>
      <c r="BY146">
        <v>1</v>
      </c>
      <c r="BZ146">
        <v>1</v>
      </c>
      <c r="CA146">
        <v>1</v>
      </c>
      <c r="CB146">
        <v>1</v>
      </c>
      <c r="CC146">
        <v>1</v>
      </c>
      <c r="CD146">
        <v>1</v>
      </c>
      <c r="CE146">
        <v>-1</v>
      </c>
      <c r="CF146">
        <v>-1</v>
      </c>
      <c r="CG146">
        <v>-1</v>
      </c>
      <c r="CH146">
        <v>-1</v>
      </c>
      <c r="CI146">
        <v>-1</v>
      </c>
      <c r="CJ146">
        <v>-1</v>
      </c>
      <c r="CK146">
        <v>-1</v>
      </c>
      <c r="CL146">
        <v>-1</v>
      </c>
      <c r="CM146">
        <v>-1</v>
      </c>
      <c r="CN146">
        <v>-1</v>
      </c>
      <c r="CO146">
        <v>-1</v>
      </c>
      <c r="CP146">
        <v>-1</v>
      </c>
      <c r="CQ146">
        <v>-1</v>
      </c>
      <c r="CR146">
        <v>-1</v>
      </c>
      <c r="CS146">
        <v>-1</v>
      </c>
      <c r="CT146">
        <v>-1</v>
      </c>
      <c r="CU146">
        <v>-1</v>
      </c>
      <c r="CV146">
        <v>-1</v>
      </c>
      <c r="CW146">
        <v>-1</v>
      </c>
      <c r="CX146" s="141"/>
      <c r="CY146">
        <v>1</v>
      </c>
      <c r="CZ146">
        <v>80</v>
      </c>
      <c r="DA146" t="s">
        <v>758</v>
      </c>
      <c r="DC146" t="s">
        <v>902</v>
      </c>
    </row>
    <row r="147" spans="1:107" x14ac:dyDescent="0.35">
      <c r="A147" t="s">
        <v>759</v>
      </c>
      <c r="B147">
        <v>0</v>
      </c>
      <c r="C147">
        <v>0</v>
      </c>
      <c r="D147">
        <v>1</v>
      </c>
      <c r="E147">
        <v>1</v>
      </c>
      <c r="F147">
        <v>1</v>
      </c>
      <c r="G147">
        <v>1</v>
      </c>
      <c r="H147">
        <v>1</v>
      </c>
      <c r="I147">
        <v>1</v>
      </c>
      <c r="J147">
        <v>1</v>
      </c>
      <c r="K147">
        <v>1</v>
      </c>
      <c r="L147">
        <v>1</v>
      </c>
      <c r="M147">
        <v>1</v>
      </c>
      <c r="N147">
        <v>1</v>
      </c>
      <c r="O147">
        <v>1</v>
      </c>
      <c r="P147">
        <v>1</v>
      </c>
      <c r="Q147">
        <v>1</v>
      </c>
      <c r="R147">
        <v>1</v>
      </c>
      <c r="S147">
        <v>1</v>
      </c>
      <c r="T147">
        <v>1</v>
      </c>
      <c r="U147">
        <v>1</v>
      </c>
      <c r="V147">
        <v>1</v>
      </c>
      <c r="W147">
        <v>1</v>
      </c>
      <c r="X147">
        <v>1</v>
      </c>
      <c r="Y147">
        <v>1</v>
      </c>
      <c r="Z147">
        <v>1</v>
      </c>
      <c r="AA147">
        <v>1</v>
      </c>
      <c r="AB147">
        <v>1</v>
      </c>
      <c r="AC147">
        <v>1</v>
      </c>
      <c r="AD147">
        <v>1</v>
      </c>
      <c r="AE147">
        <v>1</v>
      </c>
      <c r="AF147">
        <v>1</v>
      </c>
      <c r="AG147">
        <v>1</v>
      </c>
      <c r="AH147">
        <v>1</v>
      </c>
      <c r="AI147">
        <v>-1</v>
      </c>
      <c r="AJ147">
        <v>-1</v>
      </c>
      <c r="AK147">
        <v>-1</v>
      </c>
      <c r="AL147">
        <v>-1</v>
      </c>
      <c r="AM147">
        <v>-1</v>
      </c>
      <c r="AN147">
        <v>-1</v>
      </c>
      <c r="AO147">
        <v>-1</v>
      </c>
      <c r="AP147">
        <v>-1</v>
      </c>
      <c r="AQ147">
        <v>-1</v>
      </c>
      <c r="AR147">
        <v>-1</v>
      </c>
      <c r="AS147">
        <v>-1</v>
      </c>
      <c r="AT147">
        <v>-1</v>
      </c>
      <c r="AU147">
        <v>-1</v>
      </c>
      <c r="AV147">
        <v>-1</v>
      </c>
      <c r="AW147">
        <v>-1</v>
      </c>
      <c r="AX147">
        <v>-1</v>
      </c>
      <c r="AY147">
        <v>-1</v>
      </c>
      <c r="AZ147">
        <v>-1</v>
      </c>
      <c r="BA147">
        <v>-1</v>
      </c>
      <c r="BB147">
        <v>-1</v>
      </c>
      <c r="BC147">
        <v>-1</v>
      </c>
      <c r="BD147">
        <v>-1</v>
      </c>
      <c r="BE147">
        <v>-1</v>
      </c>
      <c r="BF147">
        <v>-1</v>
      </c>
      <c r="BG147">
        <v>-1</v>
      </c>
      <c r="BH147">
        <v>-1</v>
      </c>
      <c r="BI147">
        <v>-1</v>
      </c>
      <c r="BJ147">
        <v>-1</v>
      </c>
      <c r="BK147">
        <v>-1</v>
      </c>
      <c r="BL147">
        <v>-1</v>
      </c>
      <c r="BM147">
        <v>-1</v>
      </c>
      <c r="BN147">
        <v>-1</v>
      </c>
      <c r="BO147">
        <v>-1</v>
      </c>
      <c r="BP147">
        <v>-1</v>
      </c>
      <c r="BQ147">
        <v>-1</v>
      </c>
      <c r="BR147">
        <v>-1</v>
      </c>
      <c r="BS147">
        <v>-1</v>
      </c>
      <c r="BT147">
        <v>-1</v>
      </c>
      <c r="BU147">
        <v>-1</v>
      </c>
      <c r="BV147">
        <v>-1</v>
      </c>
      <c r="BW147">
        <v>-1</v>
      </c>
      <c r="BX147">
        <v>-1</v>
      </c>
      <c r="BY147">
        <v>-1</v>
      </c>
      <c r="BZ147">
        <v>-1</v>
      </c>
      <c r="CA147">
        <v>-1</v>
      </c>
      <c r="CB147">
        <v>-1</v>
      </c>
      <c r="CC147">
        <v>-1</v>
      </c>
      <c r="CD147">
        <v>-1</v>
      </c>
      <c r="CE147">
        <v>-1</v>
      </c>
      <c r="CF147">
        <v>-1</v>
      </c>
      <c r="CG147">
        <v>-1</v>
      </c>
      <c r="CH147">
        <v>-1</v>
      </c>
      <c r="CI147">
        <v>-1</v>
      </c>
      <c r="CJ147">
        <v>-1</v>
      </c>
      <c r="CK147">
        <v>-1</v>
      </c>
      <c r="CL147">
        <v>-1</v>
      </c>
      <c r="CM147">
        <v>-1</v>
      </c>
      <c r="CN147">
        <v>-1</v>
      </c>
      <c r="CO147">
        <v>-1</v>
      </c>
      <c r="CP147">
        <v>-1</v>
      </c>
      <c r="CQ147">
        <v>-1</v>
      </c>
      <c r="CR147">
        <v>-1</v>
      </c>
      <c r="CS147">
        <v>-1</v>
      </c>
      <c r="CT147">
        <v>-1</v>
      </c>
      <c r="CU147">
        <v>-1</v>
      </c>
      <c r="CV147">
        <v>-1</v>
      </c>
      <c r="CW147">
        <v>-1</v>
      </c>
      <c r="CX147" s="141"/>
      <c r="CY147">
        <v>2</v>
      </c>
      <c r="CZ147">
        <v>30</v>
      </c>
      <c r="DA147" t="s">
        <v>759</v>
      </c>
      <c r="DB147" s="29" t="s">
        <v>882</v>
      </c>
    </row>
    <row r="148" spans="1:107" x14ac:dyDescent="0.35">
      <c r="A148" t="s">
        <v>760</v>
      </c>
      <c r="B148">
        <v>0</v>
      </c>
      <c r="C148">
        <v>0</v>
      </c>
      <c r="D148">
        <v>1</v>
      </c>
      <c r="E148">
        <v>1</v>
      </c>
      <c r="F148">
        <v>1</v>
      </c>
      <c r="G148">
        <v>1</v>
      </c>
      <c r="H148">
        <v>1</v>
      </c>
      <c r="I148">
        <v>1</v>
      </c>
      <c r="J148">
        <v>1</v>
      </c>
      <c r="K148">
        <v>1</v>
      </c>
      <c r="L148">
        <v>1</v>
      </c>
      <c r="M148">
        <v>1</v>
      </c>
      <c r="N148">
        <v>1</v>
      </c>
      <c r="O148">
        <v>1</v>
      </c>
      <c r="P148">
        <v>1</v>
      </c>
      <c r="Q148">
        <v>1</v>
      </c>
      <c r="R148">
        <v>1</v>
      </c>
      <c r="S148">
        <v>1</v>
      </c>
      <c r="T148">
        <v>1</v>
      </c>
      <c r="U148">
        <v>1</v>
      </c>
      <c r="V148">
        <v>1</v>
      </c>
      <c r="W148">
        <v>1</v>
      </c>
      <c r="X148">
        <v>1</v>
      </c>
      <c r="Y148">
        <v>1</v>
      </c>
      <c r="Z148">
        <v>1</v>
      </c>
      <c r="AA148">
        <v>1</v>
      </c>
      <c r="AB148">
        <v>1</v>
      </c>
      <c r="AC148">
        <v>1</v>
      </c>
      <c r="AD148">
        <v>1</v>
      </c>
      <c r="AE148">
        <v>1</v>
      </c>
      <c r="AF148">
        <v>1</v>
      </c>
      <c r="AG148">
        <v>1</v>
      </c>
      <c r="AH148">
        <v>1</v>
      </c>
      <c r="AI148">
        <v>-1</v>
      </c>
      <c r="AJ148">
        <v>-1</v>
      </c>
      <c r="AK148">
        <v>-1</v>
      </c>
      <c r="AL148">
        <v>-1</v>
      </c>
      <c r="AM148">
        <v>-1</v>
      </c>
      <c r="AN148">
        <v>-1</v>
      </c>
      <c r="AO148">
        <v>-1</v>
      </c>
      <c r="AP148">
        <v>-1</v>
      </c>
      <c r="AQ148">
        <v>-1</v>
      </c>
      <c r="AR148">
        <v>-1</v>
      </c>
      <c r="AS148">
        <v>-1</v>
      </c>
      <c r="AT148">
        <v>-1</v>
      </c>
      <c r="AU148">
        <v>-1</v>
      </c>
      <c r="AV148">
        <v>-1</v>
      </c>
      <c r="AW148">
        <v>-1</v>
      </c>
      <c r="AX148">
        <v>-1</v>
      </c>
      <c r="AY148">
        <v>-1</v>
      </c>
      <c r="AZ148">
        <v>-1</v>
      </c>
      <c r="BA148">
        <v>-1</v>
      </c>
      <c r="BB148">
        <v>-1</v>
      </c>
      <c r="BC148">
        <v>-1</v>
      </c>
      <c r="BD148">
        <v>-1</v>
      </c>
      <c r="BE148">
        <v>-1</v>
      </c>
      <c r="BF148">
        <v>-1</v>
      </c>
      <c r="BG148">
        <v>-1</v>
      </c>
      <c r="BH148">
        <v>-1</v>
      </c>
      <c r="BI148">
        <v>-1</v>
      </c>
      <c r="BJ148">
        <v>-1</v>
      </c>
      <c r="BK148">
        <v>-1</v>
      </c>
      <c r="BL148">
        <v>-1</v>
      </c>
      <c r="BM148">
        <v>-1</v>
      </c>
      <c r="BN148">
        <v>-1</v>
      </c>
      <c r="BO148">
        <v>-1</v>
      </c>
      <c r="BP148">
        <v>-1</v>
      </c>
      <c r="BQ148">
        <v>-1</v>
      </c>
      <c r="BR148">
        <v>-1</v>
      </c>
      <c r="BS148">
        <v>-1</v>
      </c>
      <c r="BT148">
        <v>-1</v>
      </c>
      <c r="BU148">
        <v>-1</v>
      </c>
      <c r="BV148">
        <v>-1</v>
      </c>
      <c r="BW148">
        <v>-1</v>
      </c>
      <c r="BX148">
        <v>-1</v>
      </c>
      <c r="BY148">
        <v>-1</v>
      </c>
      <c r="BZ148">
        <v>-1</v>
      </c>
      <c r="CA148">
        <v>-1</v>
      </c>
      <c r="CB148">
        <v>-1</v>
      </c>
      <c r="CC148">
        <v>-1</v>
      </c>
      <c r="CD148">
        <v>-1</v>
      </c>
      <c r="CE148">
        <v>-1</v>
      </c>
      <c r="CF148">
        <v>-1</v>
      </c>
      <c r="CG148">
        <v>-1</v>
      </c>
      <c r="CH148">
        <v>-1</v>
      </c>
      <c r="CI148">
        <v>-1</v>
      </c>
      <c r="CJ148">
        <v>-1</v>
      </c>
      <c r="CK148">
        <v>-1</v>
      </c>
      <c r="CL148">
        <v>-1</v>
      </c>
      <c r="CM148">
        <v>-1</v>
      </c>
      <c r="CN148">
        <v>-1</v>
      </c>
      <c r="CO148">
        <v>-1</v>
      </c>
      <c r="CP148">
        <v>-1</v>
      </c>
      <c r="CQ148">
        <v>-1</v>
      </c>
      <c r="CR148">
        <v>-1</v>
      </c>
      <c r="CS148">
        <v>-1</v>
      </c>
      <c r="CT148">
        <v>-1</v>
      </c>
      <c r="CU148">
        <v>-1</v>
      </c>
      <c r="CV148">
        <v>-1</v>
      </c>
      <c r="CW148">
        <v>-1</v>
      </c>
      <c r="CX148" s="141"/>
      <c r="CY148">
        <v>2</v>
      </c>
      <c r="CZ148">
        <v>30</v>
      </c>
      <c r="DA148" t="s">
        <v>760</v>
      </c>
      <c r="DB148" s="29" t="s">
        <v>882</v>
      </c>
    </row>
    <row r="149" spans="1:107" x14ac:dyDescent="0.35">
      <c r="A149" t="s">
        <v>761</v>
      </c>
      <c r="B149">
        <v>0</v>
      </c>
      <c r="C149">
        <v>0</v>
      </c>
      <c r="D149">
        <v>0</v>
      </c>
      <c r="E149">
        <v>0</v>
      </c>
      <c r="F149">
        <v>0</v>
      </c>
      <c r="G149">
        <v>0</v>
      </c>
      <c r="H149">
        <v>0</v>
      </c>
      <c r="I149">
        <v>1</v>
      </c>
      <c r="J149">
        <v>1</v>
      </c>
      <c r="K149">
        <v>1</v>
      </c>
      <c r="L149">
        <v>1</v>
      </c>
      <c r="M149">
        <v>1</v>
      </c>
      <c r="N149">
        <v>1</v>
      </c>
      <c r="O149">
        <v>1</v>
      </c>
      <c r="P149">
        <v>1</v>
      </c>
      <c r="Q149">
        <v>1</v>
      </c>
      <c r="R149">
        <v>1</v>
      </c>
      <c r="S149">
        <v>1</v>
      </c>
      <c r="T149">
        <v>1</v>
      </c>
      <c r="U149">
        <v>1</v>
      </c>
      <c r="V149">
        <v>1</v>
      </c>
      <c r="W149">
        <v>1</v>
      </c>
      <c r="X149">
        <v>1</v>
      </c>
      <c r="Y149">
        <v>1</v>
      </c>
      <c r="Z149">
        <v>1</v>
      </c>
      <c r="AA149">
        <v>1</v>
      </c>
      <c r="AB149">
        <v>1</v>
      </c>
      <c r="AC149">
        <v>1</v>
      </c>
      <c r="AD149">
        <v>1</v>
      </c>
      <c r="AE149">
        <v>1</v>
      </c>
      <c r="AF149">
        <v>1</v>
      </c>
      <c r="AG149">
        <v>1</v>
      </c>
      <c r="AH149">
        <v>1</v>
      </c>
      <c r="AI149">
        <v>1</v>
      </c>
      <c r="AJ149">
        <v>1</v>
      </c>
      <c r="AK149">
        <v>1</v>
      </c>
      <c r="AL149">
        <v>1</v>
      </c>
      <c r="AM149">
        <v>1</v>
      </c>
      <c r="AN149">
        <v>1</v>
      </c>
      <c r="AO149">
        <v>1</v>
      </c>
      <c r="AP149">
        <v>1</v>
      </c>
      <c r="AQ149">
        <v>1</v>
      </c>
      <c r="AR149">
        <v>1</v>
      </c>
      <c r="AS149">
        <v>1</v>
      </c>
      <c r="AT149">
        <v>1</v>
      </c>
      <c r="AU149">
        <v>1</v>
      </c>
      <c r="AV149">
        <v>1</v>
      </c>
      <c r="AW149">
        <v>1</v>
      </c>
      <c r="AX149">
        <v>1</v>
      </c>
      <c r="AY149">
        <v>1</v>
      </c>
      <c r="AZ149">
        <v>1</v>
      </c>
      <c r="BA149">
        <v>1</v>
      </c>
      <c r="BB149">
        <v>1</v>
      </c>
      <c r="BC149">
        <v>1</v>
      </c>
      <c r="BD149">
        <v>1</v>
      </c>
      <c r="BE149">
        <v>1</v>
      </c>
      <c r="BF149">
        <v>1</v>
      </c>
      <c r="BG149">
        <v>1</v>
      </c>
      <c r="BH149">
        <v>1</v>
      </c>
      <c r="BI149">
        <v>1</v>
      </c>
      <c r="BJ149">
        <v>1</v>
      </c>
      <c r="BK149">
        <v>1</v>
      </c>
      <c r="BL149">
        <v>1</v>
      </c>
      <c r="BM149">
        <v>1</v>
      </c>
      <c r="BN149">
        <v>1</v>
      </c>
      <c r="BO149">
        <v>1</v>
      </c>
      <c r="BP149">
        <v>1</v>
      </c>
      <c r="BQ149">
        <v>-1</v>
      </c>
      <c r="BR149">
        <v>-1</v>
      </c>
      <c r="BS149">
        <v>-1</v>
      </c>
      <c r="BT149">
        <v>-1</v>
      </c>
      <c r="BU149">
        <v>-1</v>
      </c>
      <c r="BV149">
        <v>-1</v>
      </c>
      <c r="BW149">
        <v>-1</v>
      </c>
      <c r="BX149">
        <v>-1</v>
      </c>
      <c r="BY149">
        <v>-1</v>
      </c>
      <c r="BZ149">
        <v>-1</v>
      </c>
      <c r="CA149">
        <v>-1</v>
      </c>
      <c r="CB149">
        <v>-1</v>
      </c>
      <c r="CC149">
        <v>-1</v>
      </c>
      <c r="CD149">
        <v>-1</v>
      </c>
      <c r="CE149">
        <v>-1</v>
      </c>
      <c r="CF149">
        <v>-1</v>
      </c>
      <c r="CG149">
        <v>-1</v>
      </c>
      <c r="CH149">
        <v>-1</v>
      </c>
      <c r="CI149">
        <v>-1</v>
      </c>
      <c r="CJ149">
        <v>-1</v>
      </c>
      <c r="CK149">
        <v>-1</v>
      </c>
      <c r="CL149">
        <v>-1</v>
      </c>
      <c r="CM149">
        <v>-1</v>
      </c>
      <c r="CN149">
        <v>-1</v>
      </c>
      <c r="CO149">
        <v>-1</v>
      </c>
      <c r="CP149">
        <v>-1</v>
      </c>
      <c r="CQ149">
        <v>-1</v>
      </c>
      <c r="CR149">
        <v>-1</v>
      </c>
      <c r="CS149">
        <v>-1</v>
      </c>
      <c r="CT149">
        <v>-1</v>
      </c>
      <c r="CU149">
        <v>-1</v>
      </c>
      <c r="CV149">
        <v>-1</v>
      </c>
      <c r="CW149">
        <v>-1</v>
      </c>
      <c r="CX149" s="141"/>
      <c r="CY149">
        <v>7</v>
      </c>
      <c r="CZ149">
        <v>60</v>
      </c>
      <c r="DA149" t="s">
        <v>761</v>
      </c>
      <c r="DB149" t="s">
        <v>883</v>
      </c>
    </row>
    <row r="150" spans="1:107" x14ac:dyDescent="0.35">
      <c r="A150" t="s">
        <v>762</v>
      </c>
      <c r="B150">
        <v>0</v>
      </c>
      <c r="C150">
        <v>0</v>
      </c>
      <c r="D150">
        <v>1</v>
      </c>
      <c r="E150">
        <v>1</v>
      </c>
      <c r="F150">
        <v>1</v>
      </c>
      <c r="G150">
        <v>1</v>
      </c>
      <c r="H150">
        <v>1</v>
      </c>
      <c r="I150">
        <v>1</v>
      </c>
      <c r="J150">
        <v>1</v>
      </c>
      <c r="K150">
        <v>1</v>
      </c>
      <c r="L150">
        <v>1</v>
      </c>
      <c r="M150">
        <v>1</v>
      </c>
      <c r="N150">
        <v>-1</v>
      </c>
      <c r="O150">
        <v>-1</v>
      </c>
      <c r="P150">
        <v>-1</v>
      </c>
      <c r="Q150">
        <v>-1</v>
      </c>
      <c r="R150">
        <v>-1</v>
      </c>
      <c r="S150">
        <v>-1</v>
      </c>
      <c r="T150">
        <v>-1</v>
      </c>
      <c r="U150">
        <v>-1</v>
      </c>
      <c r="V150">
        <v>-1</v>
      </c>
      <c r="W150">
        <v>-1</v>
      </c>
      <c r="X150">
        <v>-1</v>
      </c>
      <c r="Y150">
        <v>-1</v>
      </c>
      <c r="Z150">
        <v>-1</v>
      </c>
      <c r="AA150">
        <v>-1</v>
      </c>
      <c r="AB150">
        <v>-1</v>
      </c>
      <c r="AC150">
        <v>-1</v>
      </c>
      <c r="AD150">
        <v>-1</v>
      </c>
      <c r="AE150">
        <v>-1</v>
      </c>
      <c r="AF150">
        <v>-1</v>
      </c>
      <c r="AG150">
        <v>-1</v>
      </c>
      <c r="AH150">
        <v>-1</v>
      </c>
      <c r="AI150">
        <v>-1</v>
      </c>
      <c r="AJ150">
        <v>-1</v>
      </c>
      <c r="AK150">
        <v>-1</v>
      </c>
      <c r="AL150">
        <v>-1</v>
      </c>
      <c r="AM150">
        <v>-1</v>
      </c>
      <c r="AN150">
        <v>-1</v>
      </c>
      <c r="AO150">
        <v>-1</v>
      </c>
      <c r="AP150">
        <v>-1</v>
      </c>
      <c r="AQ150">
        <v>-1</v>
      </c>
      <c r="AR150">
        <v>-1</v>
      </c>
      <c r="AS150">
        <v>-1</v>
      </c>
      <c r="AT150">
        <v>-1</v>
      </c>
      <c r="AU150">
        <v>-1</v>
      </c>
      <c r="AV150">
        <v>-1</v>
      </c>
      <c r="AW150">
        <v>-1</v>
      </c>
      <c r="AX150">
        <v>-1</v>
      </c>
      <c r="AY150">
        <v>-1</v>
      </c>
      <c r="AZ150">
        <v>-1</v>
      </c>
      <c r="BA150">
        <v>-1</v>
      </c>
      <c r="BB150">
        <v>-1</v>
      </c>
      <c r="BC150">
        <v>-1</v>
      </c>
      <c r="BD150">
        <v>-1</v>
      </c>
      <c r="BE150">
        <v>-1</v>
      </c>
      <c r="BF150">
        <v>-1</v>
      </c>
      <c r="BG150">
        <v>-1</v>
      </c>
      <c r="BH150">
        <v>-1</v>
      </c>
      <c r="BI150">
        <v>-1</v>
      </c>
      <c r="BJ150">
        <v>-1</v>
      </c>
      <c r="BK150">
        <v>-1</v>
      </c>
      <c r="BL150">
        <v>-1</v>
      </c>
      <c r="BM150">
        <v>-1</v>
      </c>
      <c r="BN150">
        <v>-1</v>
      </c>
      <c r="BO150">
        <v>-1</v>
      </c>
      <c r="BP150">
        <v>-1</v>
      </c>
      <c r="BQ150">
        <v>-1</v>
      </c>
      <c r="BR150">
        <v>-1</v>
      </c>
      <c r="BS150">
        <v>-1</v>
      </c>
      <c r="BT150">
        <v>-1</v>
      </c>
      <c r="BU150">
        <v>-1</v>
      </c>
      <c r="BV150">
        <v>-1</v>
      </c>
      <c r="BW150">
        <v>-1</v>
      </c>
      <c r="BX150">
        <v>-1</v>
      </c>
      <c r="BY150">
        <v>-1</v>
      </c>
      <c r="BZ150">
        <v>-1</v>
      </c>
      <c r="CA150">
        <v>-1</v>
      </c>
      <c r="CB150">
        <v>-1</v>
      </c>
      <c r="CC150">
        <v>-1</v>
      </c>
      <c r="CD150">
        <v>-1</v>
      </c>
      <c r="CE150">
        <v>-1</v>
      </c>
      <c r="CF150">
        <v>-1</v>
      </c>
      <c r="CG150">
        <v>-1</v>
      </c>
      <c r="CH150">
        <v>-1</v>
      </c>
      <c r="CI150">
        <v>-1</v>
      </c>
      <c r="CJ150">
        <v>-1</v>
      </c>
      <c r="CK150">
        <v>-1</v>
      </c>
      <c r="CL150">
        <v>-1</v>
      </c>
      <c r="CM150">
        <v>-1</v>
      </c>
      <c r="CN150">
        <v>-1</v>
      </c>
      <c r="CO150">
        <v>-1</v>
      </c>
      <c r="CP150">
        <v>-1</v>
      </c>
      <c r="CQ150">
        <v>-1</v>
      </c>
      <c r="CR150">
        <v>-1</v>
      </c>
      <c r="CS150">
        <v>-1</v>
      </c>
      <c r="CT150">
        <v>-1</v>
      </c>
      <c r="CU150">
        <v>-1</v>
      </c>
      <c r="CV150">
        <v>-1</v>
      </c>
      <c r="CW150">
        <v>-1</v>
      </c>
      <c r="CX150" s="141"/>
      <c r="CY150" s="29">
        <v>2</v>
      </c>
      <c r="CZ150">
        <v>10</v>
      </c>
      <c r="DA150" t="s">
        <v>762</v>
      </c>
      <c r="DC150" t="s">
        <v>902</v>
      </c>
    </row>
    <row r="151" spans="1:107" x14ac:dyDescent="0.35">
      <c r="A151" t="s">
        <v>763</v>
      </c>
      <c r="B151">
        <v>0</v>
      </c>
      <c r="C151">
        <v>0</v>
      </c>
      <c r="D151">
        <v>1</v>
      </c>
      <c r="E151">
        <v>1</v>
      </c>
      <c r="F151">
        <v>1</v>
      </c>
      <c r="G151">
        <v>1</v>
      </c>
      <c r="H151">
        <v>1</v>
      </c>
      <c r="I151">
        <v>1</v>
      </c>
      <c r="J151">
        <v>1</v>
      </c>
      <c r="K151">
        <v>1</v>
      </c>
      <c r="L151">
        <v>1</v>
      </c>
      <c r="M151">
        <v>1</v>
      </c>
      <c r="N151">
        <v>1</v>
      </c>
      <c r="O151">
        <v>1</v>
      </c>
      <c r="P151">
        <v>1</v>
      </c>
      <c r="Q151">
        <v>1</v>
      </c>
      <c r="R151">
        <v>1</v>
      </c>
      <c r="S151">
        <v>1</v>
      </c>
      <c r="T151">
        <v>1</v>
      </c>
      <c r="U151">
        <v>1</v>
      </c>
      <c r="V151">
        <v>1</v>
      </c>
      <c r="W151">
        <v>1</v>
      </c>
      <c r="X151">
        <v>1</v>
      </c>
      <c r="Y151">
        <v>1</v>
      </c>
      <c r="Z151">
        <v>1</v>
      </c>
      <c r="AA151">
        <v>1</v>
      </c>
      <c r="AB151">
        <v>1</v>
      </c>
      <c r="AC151">
        <v>1</v>
      </c>
      <c r="AD151">
        <v>1</v>
      </c>
      <c r="AE151">
        <v>1</v>
      </c>
      <c r="AF151">
        <v>1</v>
      </c>
      <c r="AG151">
        <v>1</v>
      </c>
      <c r="AH151">
        <v>-1</v>
      </c>
      <c r="AI151">
        <v>-1</v>
      </c>
      <c r="AJ151">
        <v>-1</v>
      </c>
      <c r="AK151">
        <v>-1</v>
      </c>
      <c r="AL151">
        <v>-1</v>
      </c>
      <c r="AM151">
        <v>-1</v>
      </c>
      <c r="AN151">
        <v>-1</v>
      </c>
      <c r="AO151">
        <v>-1</v>
      </c>
      <c r="AP151">
        <v>-1</v>
      </c>
      <c r="AQ151">
        <v>-1</v>
      </c>
      <c r="AR151">
        <v>-1</v>
      </c>
      <c r="AS151">
        <v>-1</v>
      </c>
      <c r="AT151">
        <v>-1</v>
      </c>
      <c r="AU151">
        <v>-1</v>
      </c>
      <c r="AV151">
        <v>-1</v>
      </c>
      <c r="AW151">
        <v>-1</v>
      </c>
      <c r="AX151">
        <v>-1</v>
      </c>
      <c r="AY151">
        <v>-1</v>
      </c>
      <c r="AZ151">
        <v>-1</v>
      </c>
      <c r="BA151">
        <v>-1</v>
      </c>
      <c r="BB151">
        <v>-1</v>
      </c>
      <c r="BC151">
        <v>-1</v>
      </c>
      <c r="BD151">
        <v>-1</v>
      </c>
      <c r="BE151">
        <v>-1</v>
      </c>
      <c r="BF151">
        <v>-1</v>
      </c>
      <c r="BG151">
        <v>-1</v>
      </c>
      <c r="BH151">
        <v>-1</v>
      </c>
      <c r="BI151">
        <v>-1</v>
      </c>
      <c r="BJ151">
        <v>-1</v>
      </c>
      <c r="BK151">
        <v>-1</v>
      </c>
      <c r="BL151">
        <v>-1</v>
      </c>
      <c r="BM151">
        <v>-1</v>
      </c>
      <c r="BN151">
        <v>-1</v>
      </c>
      <c r="BO151">
        <v>-1</v>
      </c>
      <c r="BP151">
        <v>-1</v>
      </c>
      <c r="BQ151">
        <v>-1</v>
      </c>
      <c r="BR151">
        <v>-1</v>
      </c>
      <c r="BS151">
        <v>-1</v>
      </c>
      <c r="BT151">
        <v>-1</v>
      </c>
      <c r="BU151">
        <v>-1</v>
      </c>
      <c r="BV151">
        <v>-1</v>
      </c>
      <c r="BW151">
        <v>-1</v>
      </c>
      <c r="BX151">
        <v>-1</v>
      </c>
      <c r="BY151">
        <v>-1</v>
      </c>
      <c r="BZ151">
        <v>-1</v>
      </c>
      <c r="CA151">
        <v>-1</v>
      </c>
      <c r="CB151">
        <v>-1</v>
      </c>
      <c r="CC151">
        <v>-1</v>
      </c>
      <c r="CD151">
        <v>-1</v>
      </c>
      <c r="CE151">
        <v>-1</v>
      </c>
      <c r="CF151">
        <v>-1</v>
      </c>
      <c r="CG151">
        <v>-1</v>
      </c>
      <c r="CH151">
        <v>-1</v>
      </c>
      <c r="CI151">
        <v>-1</v>
      </c>
      <c r="CJ151">
        <v>-1</v>
      </c>
      <c r="CK151">
        <v>-1</v>
      </c>
      <c r="CL151">
        <v>-1</v>
      </c>
      <c r="CM151">
        <v>-1</v>
      </c>
      <c r="CN151">
        <v>-1</v>
      </c>
      <c r="CO151">
        <v>-1</v>
      </c>
      <c r="CP151">
        <v>-1</v>
      </c>
      <c r="CQ151">
        <v>-1</v>
      </c>
      <c r="CR151">
        <v>-1</v>
      </c>
      <c r="CS151">
        <v>-1</v>
      </c>
      <c r="CT151">
        <v>-1</v>
      </c>
      <c r="CU151">
        <v>-1</v>
      </c>
      <c r="CV151">
        <v>-1</v>
      </c>
      <c r="CW151">
        <v>-1</v>
      </c>
      <c r="CX151" s="141"/>
      <c r="CY151">
        <v>2</v>
      </c>
      <c r="CZ151">
        <v>30</v>
      </c>
      <c r="DA151" t="s">
        <v>763</v>
      </c>
      <c r="DC151" t="s">
        <v>903</v>
      </c>
    </row>
    <row r="152" spans="1:107" x14ac:dyDescent="0.35">
      <c r="A152" t="s">
        <v>764</v>
      </c>
      <c r="B152">
        <v>0</v>
      </c>
      <c r="C152">
        <v>1</v>
      </c>
      <c r="D152">
        <v>1</v>
      </c>
      <c r="E152">
        <v>1</v>
      </c>
      <c r="F152">
        <v>1</v>
      </c>
      <c r="G152">
        <v>1</v>
      </c>
      <c r="H152">
        <v>1</v>
      </c>
      <c r="I152">
        <v>1</v>
      </c>
      <c r="J152">
        <v>1</v>
      </c>
      <c r="K152">
        <v>1</v>
      </c>
      <c r="L152">
        <v>1</v>
      </c>
      <c r="M152">
        <v>1</v>
      </c>
      <c r="N152">
        <v>1</v>
      </c>
      <c r="O152">
        <v>1</v>
      </c>
      <c r="P152">
        <v>1</v>
      </c>
      <c r="Q152">
        <v>1</v>
      </c>
      <c r="R152">
        <v>1</v>
      </c>
      <c r="S152">
        <v>1</v>
      </c>
      <c r="T152">
        <v>1</v>
      </c>
      <c r="U152">
        <v>1</v>
      </c>
      <c r="V152">
        <v>1</v>
      </c>
      <c r="W152">
        <v>1</v>
      </c>
      <c r="X152">
        <v>1</v>
      </c>
      <c r="Y152">
        <v>1</v>
      </c>
      <c r="Z152">
        <v>1</v>
      </c>
      <c r="AA152">
        <v>1</v>
      </c>
      <c r="AB152">
        <v>1</v>
      </c>
      <c r="AC152">
        <v>1</v>
      </c>
      <c r="AD152">
        <v>1</v>
      </c>
      <c r="AE152">
        <v>1</v>
      </c>
      <c r="AF152">
        <v>1</v>
      </c>
      <c r="AG152">
        <v>1</v>
      </c>
      <c r="AH152">
        <v>1</v>
      </c>
      <c r="AI152">
        <v>1</v>
      </c>
      <c r="AJ152">
        <v>-1</v>
      </c>
      <c r="AK152">
        <v>-1</v>
      </c>
      <c r="AL152">
        <v>-1</v>
      </c>
      <c r="AM152">
        <v>-1</v>
      </c>
      <c r="AN152">
        <v>-1</v>
      </c>
      <c r="AO152">
        <v>-1</v>
      </c>
      <c r="AP152">
        <v>-1</v>
      </c>
      <c r="AQ152">
        <v>-1</v>
      </c>
      <c r="AR152">
        <v>-1</v>
      </c>
      <c r="AS152">
        <v>-1</v>
      </c>
      <c r="AT152">
        <v>-1</v>
      </c>
      <c r="AU152">
        <v>-1</v>
      </c>
      <c r="AV152">
        <v>-1</v>
      </c>
      <c r="AW152">
        <v>-1</v>
      </c>
      <c r="AX152">
        <v>-1</v>
      </c>
      <c r="AY152">
        <v>-1</v>
      </c>
      <c r="AZ152">
        <v>-1</v>
      </c>
      <c r="BA152">
        <v>-1</v>
      </c>
      <c r="BB152">
        <v>-1</v>
      </c>
      <c r="BC152">
        <v>-1</v>
      </c>
      <c r="BD152">
        <v>-1</v>
      </c>
      <c r="BE152">
        <v>-1</v>
      </c>
      <c r="BF152">
        <v>-1</v>
      </c>
      <c r="BG152">
        <v>-1</v>
      </c>
      <c r="BH152">
        <v>-1</v>
      </c>
      <c r="BI152">
        <v>-1</v>
      </c>
      <c r="BJ152">
        <v>-1</v>
      </c>
      <c r="BK152">
        <v>-1</v>
      </c>
      <c r="BL152">
        <v>-1</v>
      </c>
      <c r="BM152">
        <v>-1</v>
      </c>
      <c r="BN152">
        <v>-1</v>
      </c>
      <c r="BO152">
        <v>-1</v>
      </c>
      <c r="BP152">
        <v>-1</v>
      </c>
      <c r="BQ152">
        <v>-1</v>
      </c>
      <c r="BR152">
        <v>-1</v>
      </c>
      <c r="BS152">
        <v>-1</v>
      </c>
      <c r="BT152">
        <v>-1</v>
      </c>
      <c r="BU152">
        <v>-1</v>
      </c>
      <c r="BV152">
        <v>-1</v>
      </c>
      <c r="BW152">
        <v>-1</v>
      </c>
      <c r="BX152">
        <v>-1</v>
      </c>
      <c r="BY152">
        <v>-1</v>
      </c>
      <c r="BZ152">
        <v>-1</v>
      </c>
      <c r="CA152">
        <v>-1</v>
      </c>
      <c r="CB152">
        <v>-1</v>
      </c>
      <c r="CC152">
        <v>-1</v>
      </c>
      <c r="CD152">
        <v>-1</v>
      </c>
      <c r="CE152">
        <v>-1</v>
      </c>
      <c r="CF152">
        <v>-1</v>
      </c>
      <c r="CG152">
        <v>-1</v>
      </c>
      <c r="CH152">
        <v>-1</v>
      </c>
      <c r="CI152">
        <v>-1</v>
      </c>
      <c r="CJ152">
        <v>-1</v>
      </c>
      <c r="CK152">
        <v>-1</v>
      </c>
      <c r="CL152">
        <v>-1</v>
      </c>
      <c r="CM152">
        <v>-1</v>
      </c>
      <c r="CN152">
        <v>-1</v>
      </c>
      <c r="CO152">
        <v>-1</v>
      </c>
      <c r="CP152">
        <v>-1</v>
      </c>
      <c r="CQ152">
        <v>-1</v>
      </c>
      <c r="CR152">
        <v>-1</v>
      </c>
      <c r="CS152">
        <v>-1</v>
      </c>
      <c r="CT152">
        <v>-1</v>
      </c>
      <c r="CU152">
        <v>-1</v>
      </c>
      <c r="CV152">
        <v>-1</v>
      </c>
      <c r="CW152">
        <v>-1</v>
      </c>
      <c r="CX152" s="141"/>
      <c r="CY152">
        <v>1</v>
      </c>
      <c r="CZ152">
        <v>35</v>
      </c>
      <c r="DA152" t="s">
        <v>764</v>
      </c>
      <c r="DB152" t="s">
        <v>884</v>
      </c>
    </row>
    <row r="153" spans="1:107" x14ac:dyDescent="0.35">
      <c r="A153" t="s">
        <v>765</v>
      </c>
      <c r="B153">
        <v>0</v>
      </c>
      <c r="C153">
        <v>1</v>
      </c>
      <c r="D153">
        <v>1</v>
      </c>
      <c r="E153">
        <v>1</v>
      </c>
      <c r="F153">
        <v>1</v>
      </c>
      <c r="G153">
        <v>1</v>
      </c>
      <c r="H153">
        <v>1</v>
      </c>
      <c r="I153">
        <v>1</v>
      </c>
      <c r="J153">
        <v>1</v>
      </c>
      <c r="K153">
        <v>1</v>
      </c>
      <c r="L153">
        <v>1</v>
      </c>
      <c r="M153">
        <v>1</v>
      </c>
      <c r="N153">
        <v>1</v>
      </c>
      <c r="O153">
        <v>1</v>
      </c>
      <c r="P153">
        <v>1</v>
      </c>
      <c r="Q153">
        <v>1</v>
      </c>
      <c r="R153">
        <v>1</v>
      </c>
      <c r="S153">
        <v>1</v>
      </c>
      <c r="T153">
        <v>1</v>
      </c>
      <c r="U153">
        <v>1</v>
      </c>
      <c r="V153">
        <v>1</v>
      </c>
      <c r="W153">
        <v>1</v>
      </c>
      <c r="X153">
        <v>1</v>
      </c>
      <c r="Y153">
        <v>1</v>
      </c>
      <c r="Z153">
        <v>1</v>
      </c>
      <c r="AA153">
        <v>1</v>
      </c>
      <c r="AB153">
        <v>1</v>
      </c>
      <c r="AC153">
        <v>1</v>
      </c>
      <c r="AD153">
        <v>1</v>
      </c>
      <c r="AE153">
        <v>1</v>
      </c>
      <c r="AF153">
        <v>1</v>
      </c>
      <c r="AG153">
        <v>1</v>
      </c>
      <c r="AH153">
        <v>1</v>
      </c>
      <c r="AI153">
        <v>1</v>
      </c>
      <c r="AJ153">
        <v>-1</v>
      </c>
      <c r="AK153">
        <v>-1</v>
      </c>
      <c r="AL153">
        <v>-1</v>
      </c>
      <c r="AM153">
        <v>-1</v>
      </c>
      <c r="AN153">
        <v>-1</v>
      </c>
      <c r="AO153">
        <v>-1</v>
      </c>
      <c r="AP153">
        <v>-1</v>
      </c>
      <c r="AQ153">
        <v>-1</v>
      </c>
      <c r="AR153">
        <v>-1</v>
      </c>
      <c r="AS153">
        <v>-1</v>
      </c>
      <c r="AT153">
        <v>-1</v>
      </c>
      <c r="AU153">
        <v>-1</v>
      </c>
      <c r="AV153">
        <v>-1</v>
      </c>
      <c r="AW153">
        <v>-1</v>
      </c>
      <c r="AX153">
        <v>-1</v>
      </c>
      <c r="AY153">
        <v>-1</v>
      </c>
      <c r="AZ153">
        <v>-1</v>
      </c>
      <c r="BA153">
        <v>-1</v>
      </c>
      <c r="BB153">
        <v>-1</v>
      </c>
      <c r="BC153">
        <v>-1</v>
      </c>
      <c r="BD153">
        <v>-1</v>
      </c>
      <c r="BE153">
        <v>-1</v>
      </c>
      <c r="BF153">
        <v>-1</v>
      </c>
      <c r="BG153">
        <v>-1</v>
      </c>
      <c r="BH153">
        <v>-1</v>
      </c>
      <c r="BI153">
        <v>-1</v>
      </c>
      <c r="BJ153">
        <v>-1</v>
      </c>
      <c r="BK153">
        <v>-1</v>
      </c>
      <c r="BL153">
        <v>-1</v>
      </c>
      <c r="BM153">
        <v>-1</v>
      </c>
      <c r="BN153">
        <v>-1</v>
      </c>
      <c r="BO153">
        <v>-1</v>
      </c>
      <c r="BP153">
        <v>-1</v>
      </c>
      <c r="BQ153">
        <v>-1</v>
      </c>
      <c r="BR153">
        <v>-1</v>
      </c>
      <c r="BS153">
        <v>-1</v>
      </c>
      <c r="BT153">
        <v>-1</v>
      </c>
      <c r="BU153">
        <v>-1</v>
      </c>
      <c r="BV153">
        <v>-1</v>
      </c>
      <c r="BW153">
        <v>-1</v>
      </c>
      <c r="BX153">
        <v>-1</v>
      </c>
      <c r="BY153">
        <v>-1</v>
      </c>
      <c r="BZ153">
        <v>-1</v>
      </c>
      <c r="CA153">
        <v>-1</v>
      </c>
      <c r="CB153">
        <v>-1</v>
      </c>
      <c r="CC153">
        <v>-1</v>
      </c>
      <c r="CD153">
        <v>-1</v>
      </c>
      <c r="CE153">
        <v>-1</v>
      </c>
      <c r="CF153">
        <v>-1</v>
      </c>
      <c r="CG153">
        <v>-1</v>
      </c>
      <c r="CH153">
        <v>-1</v>
      </c>
      <c r="CI153">
        <v>-1</v>
      </c>
      <c r="CJ153">
        <v>-1</v>
      </c>
      <c r="CK153">
        <v>-1</v>
      </c>
      <c r="CL153">
        <v>-1</v>
      </c>
      <c r="CM153">
        <v>-1</v>
      </c>
      <c r="CN153">
        <v>-1</v>
      </c>
      <c r="CO153">
        <v>-1</v>
      </c>
      <c r="CP153">
        <v>-1</v>
      </c>
      <c r="CQ153">
        <v>-1</v>
      </c>
      <c r="CR153">
        <v>-1</v>
      </c>
      <c r="CS153">
        <v>-1</v>
      </c>
      <c r="CT153">
        <v>-1</v>
      </c>
      <c r="CU153">
        <v>-1</v>
      </c>
      <c r="CV153">
        <v>-1</v>
      </c>
      <c r="CW153">
        <v>-1</v>
      </c>
      <c r="CX153" s="141"/>
      <c r="CY153">
        <v>1</v>
      </c>
      <c r="CZ153">
        <v>35</v>
      </c>
      <c r="DA153" t="s">
        <v>765</v>
      </c>
      <c r="DB153" t="s">
        <v>888</v>
      </c>
    </row>
    <row r="154" spans="1:107" x14ac:dyDescent="0.35">
      <c r="A154" t="s">
        <v>766</v>
      </c>
      <c r="B154">
        <v>0</v>
      </c>
      <c r="C154">
        <v>0</v>
      </c>
      <c r="D154">
        <v>0</v>
      </c>
      <c r="E154">
        <v>0</v>
      </c>
      <c r="F154">
        <v>1</v>
      </c>
      <c r="G154">
        <v>1</v>
      </c>
      <c r="H154">
        <v>1</v>
      </c>
      <c r="I154">
        <v>1</v>
      </c>
      <c r="J154">
        <v>1</v>
      </c>
      <c r="K154">
        <v>1</v>
      </c>
      <c r="L154">
        <v>1</v>
      </c>
      <c r="M154">
        <v>1</v>
      </c>
      <c r="N154">
        <v>1</v>
      </c>
      <c r="O154">
        <v>1</v>
      </c>
      <c r="P154">
        <v>1</v>
      </c>
      <c r="Q154">
        <v>1</v>
      </c>
      <c r="R154">
        <v>1</v>
      </c>
      <c r="S154">
        <v>1</v>
      </c>
      <c r="T154">
        <v>1</v>
      </c>
      <c r="U154">
        <v>1</v>
      </c>
      <c r="V154">
        <v>1</v>
      </c>
      <c r="W154">
        <v>1</v>
      </c>
      <c r="X154">
        <v>1</v>
      </c>
      <c r="Y154">
        <v>1</v>
      </c>
      <c r="Z154">
        <v>1</v>
      </c>
      <c r="AA154">
        <v>1</v>
      </c>
      <c r="AB154">
        <v>1</v>
      </c>
      <c r="AC154">
        <v>1</v>
      </c>
      <c r="AD154">
        <v>1</v>
      </c>
      <c r="AE154">
        <v>1</v>
      </c>
      <c r="AF154">
        <v>1</v>
      </c>
      <c r="AG154">
        <v>1</v>
      </c>
      <c r="AH154">
        <v>1</v>
      </c>
      <c r="AI154">
        <v>1</v>
      </c>
      <c r="AJ154">
        <v>1</v>
      </c>
      <c r="AK154">
        <v>1</v>
      </c>
      <c r="AL154">
        <v>1</v>
      </c>
      <c r="AM154">
        <v>1</v>
      </c>
      <c r="AN154">
        <v>1</v>
      </c>
      <c r="AO154">
        <v>1</v>
      </c>
      <c r="AP154">
        <v>1</v>
      </c>
      <c r="AQ154">
        <v>1</v>
      </c>
      <c r="AR154">
        <v>1</v>
      </c>
      <c r="AS154">
        <v>1</v>
      </c>
      <c r="AT154">
        <v>-1</v>
      </c>
      <c r="AU154">
        <v>-1</v>
      </c>
      <c r="AV154">
        <v>-1</v>
      </c>
      <c r="AW154">
        <v>-1</v>
      </c>
      <c r="AX154">
        <v>-1</v>
      </c>
      <c r="AY154">
        <v>-1</v>
      </c>
      <c r="AZ154">
        <v>-1</v>
      </c>
      <c r="BA154">
        <v>-1</v>
      </c>
      <c r="BB154">
        <v>-1</v>
      </c>
      <c r="BC154">
        <v>-1</v>
      </c>
      <c r="BD154">
        <v>-1</v>
      </c>
      <c r="BE154">
        <v>-1</v>
      </c>
      <c r="BF154">
        <v>-1</v>
      </c>
      <c r="BG154">
        <v>-1</v>
      </c>
      <c r="BH154">
        <v>-1</v>
      </c>
      <c r="BI154">
        <v>-1</v>
      </c>
      <c r="BJ154">
        <v>-1</v>
      </c>
      <c r="BK154">
        <v>-1</v>
      </c>
      <c r="BL154">
        <v>-1</v>
      </c>
      <c r="BM154">
        <v>-1</v>
      </c>
      <c r="BN154">
        <v>-1</v>
      </c>
      <c r="BO154">
        <v>-1</v>
      </c>
      <c r="BP154">
        <v>-1</v>
      </c>
      <c r="BQ154">
        <v>-1</v>
      </c>
      <c r="BR154">
        <v>-1</v>
      </c>
      <c r="BS154">
        <v>-1</v>
      </c>
      <c r="BT154">
        <v>-1</v>
      </c>
      <c r="BU154">
        <v>-1</v>
      </c>
      <c r="BV154">
        <v>-1</v>
      </c>
      <c r="BW154">
        <v>-1</v>
      </c>
      <c r="BX154">
        <v>-1</v>
      </c>
      <c r="BY154">
        <v>-1</v>
      </c>
      <c r="BZ154">
        <v>-1</v>
      </c>
      <c r="CA154">
        <v>-1</v>
      </c>
      <c r="CB154">
        <v>-1</v>
      </c>
      <c r="CC154">
        <v>-1</v>
      </c>
      <c r="CD154">
        <v>-1</v>
      </c>
      <c r="CE154">
        <v>-1</v>
      </c>
      <c r="CF154">
        <v>-1</v>
      </c>
      <c r="CG154">
        <v>-1</v>
      </c>
      <c r="CH154">
        <v>-1</v>
      </c>
      <c r="CI154">
        <v>-1</v>
      </c>
      <c r="CJ154">
        <v>-1</v>
      </c>
      <c r="CK154">
        <v>-1</v>
      </c>
      <c r="CL154">
        <v>-1</v>
      </c>
      <c r="CM154">
        <v>-1</v>
      </c>
      <c r="CN154">
        <v>-1</v>
      </c>
      <c r="CO154">
        <v>-1</v>
      </c>
      <c r="CP154">
        <v>-1</v>
      </c>
      <c r="CQ154">
        <v>-1</v>
      </c>
      <c r="CR154">
        <v>-1</v>
      </c>
      <c r="CS154">
        <v>-1</v>
      </c>
      <c r="CT154">
        <v>-1</v>
      </c>
      <c r="CU154">
        <v>-1</v>
      </c>
      <c r="CV154">
        <v>-1</v>
      </c>
      <c r="CW154">
        <v>-1</v>
      </c>
      <c r="CX154" s="141"/>
      <c r="CY154">
        <v>4</v>
      </c>
      <c r="CZ154">
        <v>40</v>
      </c>
      <c r="DA154" t="s">
        <v>766</v>
      </c>
      <c r="DB154" t="s">
        <v>881</v>
      </c>
    </row>
    <row r="155" spans="1:107" x14ac:dyDescent="0.35">
      <c r="A155" t="s">
        <v>767</v>
      </c>
      <c r="B155">
        <v>0</v>
      </c>
      <c r="C155">
        <v>0</v>
      </c>
      <c r="D155">
        <v>0</v>
      </c>
      <c r="E155">
        <v>0</v>
      </c>
      <c r="F155">
        <v>1</v>
      </c>
      <c r="G155">
        <v>1</v>
      </c>
      <c r="H155">
        <v>1</v>
      </c>
      <c r="I155">
        <v>1</v>
      </c>
      <c r="J155">
        <v>1</v>
      </c>
      <c r="K155">
        <v>1</v>
      </c>
      <c r="L155">
        <v>1</v>
      </c>
      <c r="M155">
        <v>1</v>
      </c>
      <c r="N155">
        <v>1</v>
      </c>
      <c r="O155">
        <v>1</v>
      </c>
      <c r="P155">
        <v>1</v>
      </c>
      <c r="Q155">
        <v>1</v>
      </c>
      <c r="R155">
        <v>1</v>
      </c>
      <c r="S155">
        <v>1</v>
      </c>
      <c r="T155">
        <v>1</v>
      </c>
      <c r="U155">
        <v>1</v>
      </c>
      <c r="V155">
        <v>1</v>
      </c>
      <c r="W155">
        <v>1</v>
      </c>
      <c r="X155">
        <v>1</v>
      </c>
      <c r="Y155">
        <v>1</v>
      </c>
      <c r="Z155">
        <v>1</v>
      </c>
      <c r="AA155">
        <v>1</v>
      </c>
      <c r="AB155">
        <v>1</v>
      </c>
      <c r="AC155">
        <v>1</v>
      </c>
      <c r="AD155">
        <v>1</v>
      </c>
      <c r="AE155">
        <v>1</v>
      </c>
      <c r="AF155">
        <v>1</v>
      </c>
      <c r="AG155">
        <v>1</v>
      </c>
      <c r="AH155">
        <v>1</v>
      </c>
      <c r="AI155">
        <v>1</v>
      </c>
      <c r="AJ155">
        <v>1</v>
      </c>
      <c r="AK155">
        <v>1</v>
      </c>
      <c r="AL155">
        <v>1</v>
      </c>
      <c r="AM155">
        <v>1</v>
      </c>
      <c r="AN155">
        <v>1</v>
      </c>
      <c r="AO155">
        <v>1</v>
      </c>
      <c r="AP155">
        <v>1</v>
      </c>
      <c r="AQ155">
        <v>1</v>
      </c>
      <c r="AR155">
        <v>1</v>
      </c>
      <c r="AS155">
        <v>1</v>
      </c>
      <c r="AT155">
        <v>-1</v>
      </c>
      <c r="AU155">
        <v>-1</v>
      </c>
      <c r="AV155">
        <v>-1</v>
      </c>
      <c r="AW155">
        <v>-1</v>
      </c>
      <c r="AX155">
        <v>-1</v>
      </c>
      <c r="AY155">
        <v>-1</v>
      </c>
      <c r="AZ155">
        <v>-1</v>
      </c>
      <c r="BA155">
        <v>-1</v>
      </c>
      <c r="BB155">
        <v>-1</v>
      </c>
      <c r="BC155">
        <v>-1</v>
      </c>
      <c r="BD155">
        <v>-1</v>
      </c>
      <c r="BE155">
        <v>-1</v>
      </c>
      <c r="BF155">
        <v>-1</v>
      </c>
      <c r="BG155">
        <v>-1</v>
      </c>
      <c r="BH155">
        <v>-1</v>
      </c>
      <c r="BI155">
        <v>-1</v>
      </c>
      <c r="BJ155">
        <v>-1</v>
      </c>
      <c r="BK155">
        <v>-1</v>
      </c>
      <c r="BL155">
        <v>-1</v>
      </c>
      <c r="BM155">
        <v>-1</v>
      </c>
      <c r="BN155">
        <v>-1</v>
      </c>
      <c r="BO155">
        <v>-1</v>
      </c>
      <c r="BP155">
        <v>-1</v>
      </c>
      <c r="BQ155">
        <v>-1</v>
      </c>
      <c r="BR155">
        <v>-1</v>
      </c>
      <c r="BS155">
        <v>-1</v>
      </c>
      <c r="BT155">
        <v>-1</v>
      </c>
      <c r="BU155">
        <v>-1</v>
      </c>
      <c r="BV155">
        <v>-1</v>
      </c>
      <c r="BW155">
        <v>-1</v>
      </c>
      <c r="BX155">
        <v>-1</v>
      </c>
      <c r="BY155">
        <v>-1</v>
      </c>
      <c r="BZ155">
        <v>-1</v>
      </c>
      <c r="CA155">
        <v>-1</v>
      </c>
      <c r="CB155">
        <v>-1</v>
      </c>
      <c r="CC155">
        <v>-1</v>
      </c>
      <c r="CD155">
        <v>-1</v>
      </c>
      <c r="CE155">
        <v>-1</v>
      </c>
      <c r="CF155">
        <v>-1</v>
      </c>
      <c r="CG155">
        <v>-1</v>
      </c>
      <c r="CH155">
        <v>-1</v>
      </c>
      <c r="CI155">
        <v>-1</v>
      </c>
      <c r="CJ155">
        <v>-1</v>
      </c>
      <c r="CK155">
        <v>-1</v>
      </c>
      <c r="CL155">
        <v>-1</v>
      </c>
      <c r="CM155">
        <v>-1</v>
      </c>
      <c r="CN155">
        <v>-1</v>
      </c>
      <c r="CO155">
        <v>-1</v>
      </c>
      <c r="CP155">
        <v>-1</v>
      </c>
      <c r="CQ155">
        <v>-1</v>
      </c>
      <c r="CR155">
        <v>-1</v>
      </c>
      <c r="CS155">
        <v>-1</v>
      </c>
      <c r="CT155">
        <v>-1</v>
      </c>
      <c r="CU155">
        <v>-1</v>
      </c>
      <c r="CV155">
        <v>-1</v>
      </c>
      <c r="CW155">
        <v>-1</v>
      </c>
      <c r="CX155" s="141"/>
      <c r="CY155">
        <v>4</v>
      </c>
      <c r="CZ155">
        <v>40</v>
      </c>
      <c r="DA155" t="s">
        <v>767</v>
      </c>
      <c r="DB155" t="s">
        <v>881</v>
      </c>
    </row>
    <row r="156" spans="1:107" x14ac:dyDescent="0.35">
      <c r="A156" t="s">
        <v>768</v>
      </c>
      <c r="B156">
        <v>0</v>
      </c>
      <c r="C156">
        <v>0</v>
      </c>
      <c r="D156">
        <v>0</v>
      </c>
      <c r="E156">
        <v>0</v>
      </c>
      <c r="F156">
        <v>1</v>
      </c>
      <c r="G156">
        <v>1</v>
      </c>
      <c r="H156">
        <v>1</v>
      </c>
      <c r="I156">
        <v>1</v>
      </c>
      <c r="J156">
        <v>1</v>
      </c>
      <c r="K156">
        <v>1</v>
      </c>
      <c r="L156">
        <v>1</v>
      </c>
      <c r="M156">
        <v>1</v>
      </c>
      <c r="N156">
        <v>1</v>
      </c>
      <c r="O156">
        <v>1</v>
      </c>
      <c r="P156">
        <v>1</v>
      </c>
      <c r="Q156">
        <v>1</v>
      </c>
      <c r="R156">
        <v>1</v>
      </c>
      <c r="S156">
        <v>1</v>
      </c>
      <c r="T156">
        <v>1</v>
      </c>
      <c r="U156">
        <v>1</v>
      </c>
      <c r="V156">
        <v>1</v>
      </c>
      <c r="W156">
        <v>1</v>
      </c>
      <c r="X156">
        <v>1</v>
      </c>
      <c r="Y156">
        <v>1</v>
      </c>
      <c r="Z156">
        <v>1</v>
      </c>
      <c r="AA156">
        <v>1</v>
      </c>
      <c r="AB156">
        <v>1</v>
      </c>
      <c r="AC156">
        <v>1</v>
      </c>
      <c r="AD156">
        <v>1</v>
      </c>
      <c r="AE156">
        <v>1</v>
      </c>
      <c r="AF156">
        <v>1</v>
      </c>
      <c r="AG156">
        <v>1</v>
      </c>
      <c r="AH156">
        <v>1</v>
      </c>
      <c r="AI156">
        <v>1</v>
      </c>
      <c r="AJ156">
        <v>1</v>
      </c>
      <c r="AK156">
        <v>1</v>
      </c>
      <c r="AL156">
        <v>1</v>
      </c>
      <c r="AM156">
        <v>1</v>
      </c>
      <c r="AN156">
        <v>1</v>
      </c>
      <c r="AO156">
        <v>1</v>
      </c>
      <c r="AP156">
        <v>1</v>
      </c>
      <c r="AQ156">
        <v>1</v>
      </c>
      <c r="AR156">
        <v>1</v>
      </c>
      <c r="AS156">
        <v>1</v>
      </c>
      <c r="AT156">
        <v>-1</v>
      </c>
      <c r="AU156">
        <v>-1</v>
      </c>
      <c r="AV156">
        <v>-1</v>
      </c>
      <c r="AW156">
        <v>-1</v>
      </c>
      <c r="AX156">
        <v>-1</v>
      </c>
      <c r="AY156">
        <v>-1</v>
      </c>
      <c r="AZ156">
        <v>-1</v>
      </c>
      <c r="BA156">
        <v>-1</v>
      </c>
      <c r="BB156">
        <v>-1</v>
      </c>
      <c r="BC156">
        <v>-1</v>
      </c>
      <c r="BD156">
        <v>-1</v>
      </c>
      <c r="BE156">
        <v>-1</v>
      </c>
      <c r="BF156">
        <v>-1</v>
      </c>
      <c r="BG156">
        <v>-1</v>
      </c>
      <c r="BH156">
        <v>-1</v>
      </c>
      <c r="BI156">
        <v>-1</v>
      </c>
      <c r="BJ156">
        <v>-1</v>
      </c>
      <c r="BK156">
        <v>-1</v>
      </c>
      <c r="BL156">
        <v>-1</v>
      </c>
      <c r="BM156">
        <v>-1</v>
      </c>
      <c r="BN156">
        <v>-1</v>
      </c>
      <c r="BO156">
        <v>-1</v>
      </c>
      <c r="BP156">
        <v>-1</v>
      </c>
      <c r="BQ156">
        <v>-1</v>
      </c>
      <c r="BR156">
        <v>-1</v>
      </c>
      <c r="BS156">
        <v>-1</v>
      </c>
      <c r="BT156">
        <v>-1</v>
      </c>
      <c r="BU156">
        <v>-1</v>
      </c>
      <c r="BV156">
        <v>-1</v>
      </c>
      <c r="BW156">
        <v>-1</v>
      </c>
      <c r="BX156">
        <v>-1</v>
      </c>
      <c r="BY156">
        <v>-1</v>
      </c>
      <c r="BZ156">
        <v>-1</v>
      </c>
      <c r="CA156">
        <v>-1</v>
      </c>
      <c r="CB156">
        <v>-1</v>
      </c>
      <c r="CC156">
        <v>-1</v>
      </c>
      <c r="CD156">
        <v>-1</v>
      </c>
      <c r="CE156">
        <v>-1</v>
      </c>
      <c r="CF156">
        <v>-1</v>
      </c>
      <c r="CG156">
        <v>-1</v>
      </c>
      <c r="CH156">
        <v>-1</v>
      </c>
      <c r="CI156">
        <v>-1</v>
      </c>
      <c r="CJ156">
        <v>-1</v>
      </c>
      <c r="CK156">
        <v>-1</v>
      </c>
      <c r="CL156">
        <v>-1</v>
      </c>
      <c r="CM156">
        <v>-1</v>
      </c>
      <c r="CN156">
        <v>-1</v>
      </c>
      <c r="CO156">
        <v>-1</v>
      </c>
      <c r="CP156">
        <v>-1</v>
      </c>
      <c r="CQ156">
        <v>-1</v>
      </c>
      <c r="CR156">
        <v>-1</v>
      </c>
      <c r="CS156">
        <v>-1</v>
      </c>
      <c r="CT156">
        <v>-1</v>
      </c>
      <c r="CU156">
        <v>-1</v>
      </c>
      <c r="CV156">
        <v>-1</v>
      </c>
      <c r="CW156">
        <v>-1</v>
      </c>
      <c r="CX156" s="141"/>
      <c r="CY156">
        <v>4</v>
      </c>
      <c r="CZ156">
        <v>40</v>
      </c>
      <c r="DA156" t="s">
        <v>768</v>
      </c>
      <c r="DB156" s="29" t="s">
        <v>885</v>
      </c>
    </row>
    <row r="157" spans="1:107" x14ac:dyDescent="0.35">
      <c r="A157" t="s">
        <v>769</v>
      </c>
      <c r="B157">
        <v>0</v>
      </c>
      <c r="C157">
        <v>0</v>
      </c>
      <c r="D157">
        <v>0</v>
      </c>
      <c r="E157">
        <v>0</v>
      </c>
      <c r="F157">
        <v>1</v>
      </c>
      <c r="G157">
        <v>1</v>
      </c>
      <c r="H157">
        <v>1</v>
      </c>
      <c r="I157">
        <v>1</v>
      </c>
      <c r="J157">
        <v>1</v>
      </c>
      <c r="K157">
        <v>1</v>
      </c>
      <c r="L157">
        <v>1</v>
      </c>
      <c r="M157">
        <v>1</v>
      </c>
      <c r="N157">
        <v>1</v>
      </c>
      <c r="O157">
        <v>1</v>
      </c>
      <c r="P157">
        <v>1</v>
      </c>
      <c r="Q157">
        <v>1</v>
      </c>
      <c r="R157">
        <v>1</v>
      </c>
      <c r="S157">
        <v>1</v>
      </c>
      <c r="T157">
        <v>1</v>
      </c>
      <c r="U157">
        <v>1</v>
      </c>
      <c r="V157">
        <v>1</v>
      </c>
      <c r="W157">
        <v>1</v>
      </c>
      <c r="X157">
        <v>1</v>
      </c>
      <c r="Y157">
        <v>1</v>
      </c>
      <c r="Z157">
        <v>1</v>
      </c>
      <c r="AA157">
        <v>1</v>
      </c>
      <c r="AB157">
        <v>1</v>
      </c>
      <c r="AC157">
        <v>1</v>
      </c>
      <c r="AD157">
        <v>1</v>
      </c>
      <c r="AE157">
        <v>1</v>
      </c>
      <c r="AF157">
        <v>1</v>
      </c>
      <c r="AG157">
        <v>1</v>
      </c>
      <c r="AH157">
        <v>1</v>
      </c>
      <c r="AI157">
        <v>1</v>
      </c>
      <c r="AJ157">
        <v>1</v>
      </c>
      <c r="AK157">
        <v>1</v>
      </c>
      <c r="AL157">
        <v>1</v>
      </c>
      <c r="AM157">
        <v>1</v>
      </c>
      <c r="AN157">
        <v>1</v>
      </c>
      <c r="AO157">
        <v>1</v>
      </c>
      <c r="AP157">
        <v>1</v>
      </c>
      <c r="AQ157">
        <v>1</v>
      </c>
      <c r="AR157">
        <v>1</v>
      </c>
      <c r="AS157">
        <v>1</v>
      </c>
      <c r="AT157">
        <v>-1</v>
      </c>
      <c r="AU157">
        <v>-1</v>
      </c>
      <c r="AV157">
        <v>-1</v>
      </c>
      <c r="AW157">
        <v>-1</v>
      </c>
      <c r="AX157">
        <v>-1</v>
      </c>
      <c r="AY157">
        <v>-1</v>
      </c>
      <c r="AZ157">
        <v>-1</v>
      </c>
      <c r="BA157">
        <v>-1</v>
      </c>
      <c r="BB157">
        <v>-1</v>
      </c>
      <c r="BC157">
        <v>-1</v>
      </c>
      <c r="BD157">
        <v>-1</v>
      </c>
      <c r="BE157">
        <v>-1</v>
      </c>
      <c r="BF157">
        <v>-1</v>
      </c>
      <c r="BG157">
        <v>-1</v>
      </c>
      <c r="BH157">
        <v>-1</v>
      </c>
      <c r="BI157">
        <v>-1</v>
      </c>
      <c r="BJ157">
        <v>-1</v>
      </c>
      <c r="BK157">
        <v>-1</v>
      </c>
      <c r="BL157">
        <v>-1</v>
      </c>
      <c r="BM157">
        <v>-1</v>
      </c>
      <c r="BN157">
        <v>-1</v>
      </c>
      <c r="BO157">
        <v>-1</v>
      </c>
      <c r="BP157">
        <v>-1</v>
      </c>
      <c r="BQ157">
        <v>-1</v>
      </c>
      <c r="BR157">
        <v>-1</v>
      </c>
      <c r="BS157">
        <v>-1</v>
      </c>
      <c r="BT157">
        <v>-1</v>
      </c>
      <c r="BU157">
        <v>-1</v>
      </c>
      <c r="BV157">
        <v>-1</v>
      </c>
      <c r="BW157">
        <v>-1</v>
      </c>
      <c r="BX157">
        <v>-1</v>
      </c>
      <c r="BY157">
        <v>-1</v>
      </c>
      <c r="BZ157">
        <v>-1</v>
      </c>
      <c r="CA157">
        <v>-1</v>
      </c>
      <c r="CB157">
        <v>-1</v>
      </c>
      <c r="CC157">
        <v>-1</v>
      </c>
      <c r="CD157">
        <v>-1</v>
      </c>
      <c r="CE157">
        <v>-1</v>
      </c>
      <c r="CF157">
        <v>-1</v>
      </c>
      <c r="CG157">
        <v>-1</v>
      </c>
      <c r="CH157">
        <v>-1</v>
      </c>
      <c r="CI157">
        <v>-1</v>
      </c>
      <c r="CJ157">
        <v>-1</v>
      </c>
      <c r="CK157">
        <v>-1</v>
      </c>
      <c r="CL157">
        <v>-1</v>
      </c>
      <c r="CM157">
        <v>-1</v>
      </c>
      <c r="CN157">
        <v>-1</v>
      </c>
      <c r="CO157">
        <v>-1</v>
      </c>
      <c r="CP157">
        <v>-1</v>
      </c>
      <c r="CQ157">
        <v>-1</v>
      </c>
      <c r="CR157">
        <v>-1</v>
      </c>
      <c r="CS157">
        <v>-1</v>
      </c>
      <c r="CT157">
        <v>-1</v>
      </c>
      <c r="CU157">
        <v>-1</v>
      </c>
      <c r="CV157">
        <v>-1</v>
      </c>
      <c r="CW157">
        <v>-1</v>
      </c>
      <c r="CX157" s="141"/>
      <c r="CY157">
        <v>4</v>
      </c>
      <c r="CZ157">
        <v>40</v>
      </c>
      <c r="DA157" t="s">
        <v>769</v>
      </c>
      <c r="DB157" s="29" t="s">
        <v>885</v>
      </c>
    </row>
    <row r="158" spans="1:107" x14ac:dyDescent="0.35">
      <c r="A158" t="s">
        <v>770</v>
      </c>
      <c r="B158">
        <v>0</v>
      </c>
      <c r="C158">
        <v>0</v>
      </c>
      <c r="D158">
        <v>0</v>
      </c>
      <c r="E158">
        <v>1</v>
      </c>
      <c r="F158">
        <v>1</v>
      </c>
      <c r="G158">
        <v>1</v>
      </c>
      <c r="H158">
        <v>1</v>
      </c>
      <c r="I158">
        <v>1</v>
      </c>
      <c r="J158">
        <v>1</v>
      </c>
      <c r="K158">
        <v>1</v>
      </c>
      <c r="L158">
        <v>1</v>
      </c>
      <c r="M158">
        <v>1</v>
      </c>
      <c r="N158">
        <v>1</v>
      </c>
      <c r="O158">
        <v>1</v>
      </c>
      <c r="P158">
        <v>1</v>
      </c>
      <c r="Q158">
        <v>1</v>
      </c>
      <c r="R158">
        <v>1</v>
      </c>
      <c r="S158">
        <v>1</v>
      </c>
      <c r="T158">
        <v>1</v>
      </c>
      <c r="U158">
        <v>1</v>
      </c>
      <c r="V158">
        <v>1</v>
      </c>
      <c r="W158">
        <v>1</v>
      </c>
      <c r="X158">
        <v>1</v>
      </c>
      <c r="Y158">
        <v>1</v>
      </c>
      <c r="Z158">
        <v>1</v>
      </c>
      <c r="AA158">
        <v>1</v>
      </c>
      <c r="AB158">
        <v>1</v>
      </c>
      <c r="AC158">
        <v>1</v>
      </c>
      <c r="AD158">
        <v>1</v>
      </c>
      <c r="AE158">
        <v>1</v>
      </c>
      <c r="AF158">
        <v>-1</v>
      </c>
      <c r="AG158">
        <v>-1</v>
      </c>
      <c r="AH158">
        <v>-1</v>
      </c>
      <c r="AI158">
        <v>-1</v>
      </c>
      <c r="AJ158">
        <v>-1</v>
      </c>
      <c r="AK158">
        <v>-1</v>
      </c>
      <c r="AL158">
        <v>-1</v>
      </c>
      <c r="AM158">
        <v>-1</v>
      </c>
      <c r="AN158">
        <v>-1</v>
      </c>
      <c r="AO158">
        <v>-1</v>
      </c>
      <c r="AP158">
        <v>-1</v>
      </c>
      <c r="AQ158">
        <v>-1</v>
      </c>
      <c r="AR158">
        <v>-1</v>
      </c>
      <c r="AS158">
        <v>-1</v>
      </c>
      <c r="AT158">
        <v>-1</v>
      </c>
      <c r="AU158">
        <v>-1</v>
      </c>
      <c r="AV158">
        <v>-1</v>
      </c>
      <c r="AW158">
        <v>-1</v>
      </c>
      <c r="AX158">
        <v>-1</v>
      </c>
      <c r="AY158">
        <v>-1</v>
      </c>
      <c r="AZ158">
        <v>-1</v>
      </c>
      <c r="BA158">
        <v>-1</v>
      </c>
      <c r="BB158">
        <v>-1</v>
      </c>
      <c r="BC158">
        <v>-1</v>
      </c>
      <c r="BD158">
        <v>-1</v>
      </c>
      <c r="BE158">
        <v>-1</v>
      </c>
      <c r="BF158">
        <v>-1</v>
      </c>
      <c r="BG158">
        <v>-1</v>
      </c>
      <c r="BH158">
        <v>-1</v>
      </c>
      <c r="BI158">
        <v>-1</v>
      </c>
      <c r="BJ158">
        <v>-1</v>
      </c>
      <c r="BK158">
        <v>-1</v>
      </c>
      <c r="BL158">
        <v>-1</v>
      </c>
      <c r="BM158">
        <v>-1</v>
      </c>
      <c r="BN158">
        <v>-1</v>
      </c>
      <c r="BO158">
        <v>-1</v>
      </c>
      <c r="BP158">
        <v>-1</v>
      </c>
      <c r="BQ158">
        <v>-1</v>
      </c>
      <c r="BR158">
        <v>-1</v>
      </c>
      <c r="BS158">
        <v>-1</v>
      </c>
      <c r="BT158">
        <v>-1</v>
      </c>
      <c r="BU158">
        <v>-1</v>
      </c>
      <c r="BV158">
        <v>-1</v>
      </c>
      <c r="BW158">
        <v>-1</v>
      </c>
      <c r="BX158">
        <v>-1</v>
      </c>
      <c r="BY158">
        <v>-1</v>
      </c>
      <c r="BZ158">
        <v>-1</v>
      </c>
      <c r="CA158">
        <v>-1</v>
      </c>
      <c r="CB158">
        <v>-1</v>
      </c>
      <c r="CC158">
        <v>-1</v>
      </c>
      <c r="CD158">
        <v>-1</v>
      </c>
      <c r="CE158">
        <v>-1</v>
      </c>
      <c r="CF158">
        <v>-1</v>
      </c>
      <c r="CG158">
        <v>-1</v>
      </c>
      <c r="CH158">
        <v>-1</v>
      </c>
      <c r="CI158">
        <v>-1</v>
      </c>
      <c r="CJ158">
        <v>-1</v>
      </c>
      <c r="CK158">
        <v>-1</v>
      </c>
      <c r="CL158">
        <v>-1</v>
      </c>
      <c r="CM158">
        <v>-1</v>
      </c>
      <c r="CN158">
        <v>-1</v>
      </c>
      <c r="CO158">
        <v>-1</v>
      </c>
      <c r="CP158">
        <v>-1</v>
      </c>
      <c r="CQ158">
        <v>-1</v>
      </c>
      <c r="CR158">
        <v>-1</v>
      </c>
      <c r="CS158">
        <v>-1</v>
      </c>
      <c r="CT158">
        <v>-1</v>
      </c>
      <c r="CU158">
        <v>-1</v>
      </c>
      <c r="CV158">
        <v>-1</v>
      </c>
      <c r="CW158">
        <v>-1</v>
      </c>
      <c r="CX158" s="141"/>
      <c r="CY158">
        <v>2.5</v>
      </c>
      <c r="CZ158">
        <v>27</v>
      </c>
      <c r="DA158" t="s">
        <v>770</v>
      </c>
      <c r="DB158" t="s">
        <v>887</v>
      </c>
    </row>
    <row r="159" spans="1:107" x14ac:dyDescent="0.35">
      <c r="A159" t="s">
        <v>771</v>
      </c>
      <c r="B159">
        <v>0</v>
      </c>
      <c r="C159">
        <v>0</v>
      </c>
      <c r="D159">
        <v>1</v>
      </c>
      <c r="E159">
        <v>1</v>
      </c>
      <c r="F159">
        <v>1</v>
      </c>
      <c r="G159">
        <v>1</v>
      </c>
      <c r="H159">
        <v>1</v>
      </c>
      <c r="I159">
        <v>1</v>
      </c>
      <c r="J159">
        <v>1</v>
      </c>
      <c r="K159">
        <v>1</v>
      </c>
      <c r="L159">
        <v>1</v>
      </c>
      <c r="M159">
        <v>1</v>
      </c>
      <c r="N159">
        <v>1</v>
      </c>
      <c r="O159">
        <v>1</v>
      </c>
      <c r="P159">
        <v>1</v>
      </c>
      <c r="Q159">
        <v>1</v>
      </c>
      <c r="R159">
        <v>1</v>
      </c>
      <c r="S159">
        <v>1</v>
      </c>
      <c r="T159">
        <v>1</v>
      </c>
      <c r="U159">
        <v>1</v>
      </c>
      <c r="V159">
        <v>1</v>
      </c>
      <c r="W159">
        <v>1</v>
      </c>
      <c r="X159">
        <v>1</v>
      </c>
      <c r="Y159">
        <v>1</v>
      </c>
      <c r="Z159">
        <v>1</v>
      </c>
      <c r="AA159">
        <v>1</v>
      </c>
      <c r="AB159">
        <v>1</v>
      </c>
      <c r="AC159">
        <v>1</v>
      </c>
      <c r="AD159">
        <v>1</v>
      </c>
      <c r="AE159">
        <v>-1</v>
      </c>
      <c r="AF159">
        <v>-1</v>
      </c>
      <c r="AG159">
        <v>-1</v>
      </c>
      <c r="AH159">
        <v>-1</v>
      </c>
      <c r="AI159">
        <v>-1</v>
      </c>
      <c r="AJ159">
        <v>-1</v>
      </c>
      <c r="AK159">
        <v>-1</v>
      </c>
      <c r="AL159">
        <v>-1</v>
      </c>
      <c r="AM159">
        <v>-1</v>
      </c>
      <c r="AN159">
        <v>-1</v>
      </c>
      <c r="AO159">
        <v>-1</v>
      </c>
      <c r="AP159">
        <v>-1</v>
      </c>
      <c r="AQ159">
        <v>-1</v>
      </c>
      <c r="AR159">
        <v>-1</v>
      </c>
      <c r="AS159">
        <v>-1</v>
      </c>
      <c r="AT159">
        <v>-1</v>
      </c>
      <c r="AU159">
        <v>-1</v>
      </c>
      <c r="AV159">
        <v>-1</v>
      </c>
      <c r="AW159">
        <v>-1</v>
      </c>
      <c r="AX159">
        <v>-1</v>
      </c>
      <c r="AY159">
        <v>-1</v>
      </c>
      <c r="AZ159">
        <v>-1</v>
      </c>
      <c r="BA159">
        <v>-1</v>
      </c>
      <c r="BB159">
        <v>-1</v>
      </c>
      <c r="BC159">
        <v>-1</v>
      </c>
      <c r="BD159">
        <v>-1</v>
      </c>
      <c r="BE159">
        <v>-1</v>
      </c>
      <c r="BF159">
        <v>-1</v>
      </c>
      <c r="BG159">
        <v>-1</v>
      </c>
      <c r="BH159">
        <v>-1</v>
      </c>
      <c r="BI159">
        <v>-1</v>
      </c>
      <c r="BJ159">
        <v>-1</v>
      </c>
      <c r="BK159">
        <v>-1</v>
      </c>
      <c r="BL159">
        <v>-1</v>
      </c>
      <c r="BM159">
        <v>-1</v>
      </c>
      <c r="BN159">
        <v>-1</v>
      </c>
      <c r="BO159">
        <v>-1</v>
      </c>
      <c r="BP159">
        <v>-1</v>
      </c>
      <c r="BQ159">
        <v>-1</v>
      </c>
      <c r="BR159">
        <v>-1</v>
      </c>
      <c r="BS159">
        <v>-1</v>
      </c>
      <c r="BT159">
        <v>-1</v>
      </c>
      <c r="BU159">
        <v>-1</v>
      </c>
      <c r="BV159">
        <v>-1</v>
      </c>
      <c r="BW159">
        <v>-1</v>
      </c>
      <c r="BX159">
        <v>-1</v>
      </c>
      <c r="BY159">
        <v>-1</v>
      </c>
      <c r="BZ159">
        <v>-1</v>
      </c>
      <c r="CA159">
        <v>-1</v>
      </c>
      <c r="CB159">
        <v>-1</v>
      </c>
      <c r="CC159">
        <v>-1</v>
      </c>
      <c r="CD159">
        <v>-1</v>
      </c>
      <c r="CE159">
        <v>-1</v>
      </c>
      <c r="CF159">
        <v>-1</v>
      </c>
      <c r="CG159">
        <v>-1</v>
      </c>
      <c r="CH159">
        <v>-1</v>
      </c>
      <c r="CI159">
        <v>-1</v>
      </c>
      <c r="CJ159">
        <v>-1</v>
      </c>
      <c r="CK159">
        <v>-1</v>
      </c>
      <c r="CL159">
        <v>-1</v>
      </c>
      <c r="CM159">
        <v>-1</v>
      </c>
      <c r="CN159">
        <v>-1</v>
      </c>
      <c r="CO159">
        <v>-1</v>
      </c>
      <c r="CP159">
        <v>-1</v>
      </c>
      <c r="CQ159">
        <v>-1</v>
      </c>
      <c r="CR159">
        <v>-1</v>
      </c>
      <c r="CS159">
        <v>-1</v>
      </c>
      <c r="CT159">
        <v>-1</v>
      </c>
      <c r="CU159">
        <v>-1</v>
      </c>
      <c r="CV159">
        <v>-1</v>
      </c>
      <c r="CW159">
        <v>-1</v>
      </c>
      <c r="CX159" s="141"/>
      <c r="CY159">
        <v>1.5</v>
      </c>
      <c r="CZ159">
        <v>27</v>
      </c>
      <c r="DA159" t="s">
        <v>771</v>
      </c>
      <c r="DB159" t="s">
        <v>886</v>
      </c>
    </row>
    <row r="160" spans="1:107" x14ac:dyDescent="0.35">
      <c r="A160" t="s">
        <v>772</v>
      </c>
      <c r="B160">
        <v>0</v>
      </c>
      <c r="C160">
        <v>0</v>
      </c>
      <c r="D160">
        <v>0</v>
      </c>
      <c r="E160">
        <v>1</v>
      </c>
      <c r="F160">
        <v>1</v>
      </c>
      <c r="G160">
        <v>1</v>
      </c>
      <c r="H160">
        <v>1</v>
      </c>
      <c r="I160">
        <v>1</v>
      </c>
      <c r="J160">
        <v>1</v>
      </c>
      <c r="K160">
        <v>1</v>
      </c>
      <c r="L160">
        <v>1</v>
      </c>
      <c r="M160">
        <v>1</v>
      </c>
      <c r="N160">
        <v>1</v>
      </c>
      <c r="O160">
        <v>1</v>
      </c>
      <c r="P160">
        <v>1</v>
      </c>
      <c r="Q160">
        <v>1</v>
      </c>
      <c r="R160">
        <v>1</v>
      </c>
      <c r="S160">
        <v>1</v>
      </c>
      <c r="T160">
        <v>1</v>
      </c>
      <c r="U160">
        <v>1</v>
      </c>
      <c r="V160">
        <v>1</v>
      </c>
      <c r="W160">
        <v>1</v>
      </c>
      <c r="X160">
        <v>1</v>
      </c>
      <c r="Y160">
        <v>-1</v>
      </c>
      <c r="Z160">
        <v>-1</v>
      </c>
      <c r="AA160">
        <v>-1</v>
      </c>
      <c r="AB160">
        <v>-1</v>
      </c>
      <c r="AC160">
        <v>-1</v>
      </c>
      <c r="AD160">
        <v>-1</v>
      </c>
      <c r="AE160">
        <v>-1</v>
      </c>
      <c r="AF160">
        <v>-1</v>
      </c>
      <c r="AG160">
        <v>-1</v>
      </c>
      <c r="AH160">
        <v>-1</v>
      </c>
      <c r="AI160">
        <v>-1</v>
      </c>
      <c r="AJ160">
        <v>-1</v>
      </c>
      <c r="AK160">
        <v>-1</v>
      </c>
      <c r="AL160">
        <v>-1</v>
      </c>
      <c r="AM160">
        <v>-1</v>
      </c>
      <c r="AN160">
        <v>-1</v>
      </c>
      <c r="AO160">
        <v>-1</v>
      </c>
      <c r="AP160">
        <v>-1</v>
      </c>
      <c r="AQ160">
        <v>-1</v>
      </c>
      <c r="AR160">
        <v>-1</v>
      </c>
      <c r="AS160">
        <v>-1</v>
      </c>
      <c r="AT160">
        <v>-1</v>
      </c>
      <c r="AU160">
        <v>-1</v>
      </c>
      <c r="AV160">
        <v>-1</v>
      </c>
      <c r="AW160">
        <v>-1</v>
      </c>
      <c r="AX160">
        <v>-1</v>
      </c>
      <c r="AY160">
        <v>-1</v>
      </c>
      <c r="AZ160">
        <v>-1</v>
      </c>
      <c r="BA160">
        <v>-1</v>
      </c>
      <c r="BB160">
        <v>-1</v>
      </c>
      <c r="BC160">
        <v>-1</v>
      </c>
      <c r="BD160">
        <v>-1</v>
      </c>
      <c r="BE160">
        <v>-1</v>
      </c>
      <c r="BF160">
        <v>-1</v>
      </c>
      <c r="BG160">
        <v>-1</v>
      </c>
      <c r="BH160">
        <v>-1</v>
      </c>
      <c r="BI160">
        <v>-1</v>
      </c>
      <c r="BJ160">
        <v>-1</v>
      </c>
      <c r="BK160">
        <v>-1</v>
      </c>
      <c r="BL160">
        <v>-1</v>
      </c>
      <c r="BM160">
        <v>-1</v>
      </c>
      <c r="BN160">
        <v>-1</v>
      </c>
      <c r="BO160">
        <v>-1</v>
      </c>
      <c r="BP160">
        <v>-1</v>
      </c>
      <c r="BQ160">
        <v>-1</v>
      </c>
      <c r="BR160">
        <v>-1</v>
      </c>
      <c r="BS160">
        <v>-1</v>
      </c>
      <c r="BT160">
        <v>-1</v>
      </c>
      <c r="BU160">
        <v>-1</v>
      </c>
      <c r="BV160">
        <v>-1</v>
      </c>
      <c r="BW160">
        <v>-1</v>
      </c>
      <c r="BX160">
        <v>-1</v>
      </c>
      <c r="BY160">
        <v>-1</v>
      </c>
      <c r="BZ160">
        <v>-1</v>
      </c>
      <c r="CA160">
        <v>-1</v>
      </c>
      <c r="CB160">
        <v>-1</v>
      </c>
      <c r="CC160">
        <v>-1</v>
      </c>
      <c r="CD160">
        <v>-1</v>
      </c>
      <c r="CE160">
        <v>-1</v>
      </c>
      <c r="CF160">
        <v>-1</v>
      </c>
      <c r="CG160">
        <v>-1</v>
      </c>
      <c r="CH160">
        <v>-1</v>
      </c>
      <c r="CI160">
        <v>-1</v>
      </c>
      <c r="CJ160">
        <v>-1</v>
      </c>
      <c r="CK160">
        <v>-1</v>
      </c>
      <c r="CL160">
        <v>-1</v>
      </c>
      <c r="CM160">
        <v>-1</v>
      </c>
      <c r="CN160">
        <v>-1</v>
      </c>
      <c r="CO160">
        <v>-1</v>
      </c>
      <c r="CP160">
        <v>-1</v>
      </c>
      <c r="CQ160">
        <v>-1</v>
      </c>
      <c r="CR160">
        <v>-1</v>
      </c>
      <c r="CS160">
        <v>-1</v>
      </c>
      <c r="CT160">
        <v>-1</v>
      </c>
      <c r="CU160">
        <v>-1</v>
      </c>
      <c r="CV160">
        <v>-1</v>
      </c>
      <c r="CW160">
        <v>-1</v>
      </c>
      <c r="CX160" s="141"/>
      <c r="CY160">
        <v>2.5</v>
      </c>
      <c r="CZ160">
        <v>20</v>
      </c>
      <c r="DA160" t="s">
        <v>772</v>
      </c>
      <c r="DB160" s="29" t="s">
        <v>896</v>
      </c>
    </row>
    <row r="161" spans="1:106" x14ac:dyDescent="0.35">
      <c r="A161" t="s">
        <v>773</v>
      </c>
      <c r="B161">
        <v>0</v>
      </c>
      <c r="C161">
        <v>0</v>
      </c>
      <c r="D161">
        <v>1</v>
      </c>
      <c r="E161">
        <v>1</v>
      </c>
      <c r="F161">
        <v>1</v>
      </c>
      <c r="G161">
        <v>1</v>
      </c>
      <c r="H161">
        <v>1</v>
      </c>
      <c r="I161">
        <v>1</v>
      </c>
      <c r="J161">
        <v>1</v>
      </c>
      <c r="K161">
        <v>1</v>
      </c>
      <c r="L161">
        <v>1</v>
      </c>
      <c r="M161">
        <v>1</v>
      </c>
      <c r="N161">
        <v>1</v>
      </c>
      <c r="O161">
        <v>1</v>
      </c>
      <c r="P161">
        <v>1</v>
      </c>
      <c r="Q161">
        <v>1</v>
      </c>
      <c r="R161">
        <v>1</v>
      </c>
      <c r="S161">
        <v>1</v>
      </c>
      <c r="T161">
        <v>1</v>
      </c>
      <c r="U161">
        <v>1</v>
      </c>
      <c r="V161">
        <v>1</v>
      </c>
      <c r="W161">
        <v>1</v>
      </c>
      <c r="X161">
        <v>1</v>
      </c>
      <c r="Y161">
        <v>1</v>
      </c>
      <c r="Z161">
        <v>1</v>
      </c>
      <c r="AA161">
        <v>1</v>
      </c>
      <c r="AB161">
        <v>1</v>
      </c>
      <c r="AC161">
        <v>-1</v>
      </c>
      <c r="AD161">
        <v>-1</v>
      </c>
      <c r="AE161">
        <v>-1</v>
      </c>
      <c r="AF161">
        <v>-1</v>
      </c>
      <c r="AG161">
        <v>-1</v>
      </c>
      <c r="AH161">
        <v>-1</v>
      </c>
      <c r="AI161">
        <v>-1</v>
      </c>
      <c r="AJ161">
        <v>-1</v>
      </c>
      <c r="AK161">
        <v>-1</v>
      </c>
      <c r="AL161">
        <v>-1</v>
      </c>
      <c r="AM161">
        <v>-1</v>
      </c>
      <c r="AN161">
        <v>-1</v>
      </c>
      <c r="AO161">
        <v>-1</v>
      </c>
      <c r="AP161">
        <v>-1</v>
      </c>
      <c r="AQ161">
        <v>-1</v>
      </c>
      <c r="AR161">
        <v>-1</v>
      </c>
      <c r="AS161">
        <v>-1</v>
      </c>
      <c r="AT161">
        <v>-1</v>
      </c>
      <c r="AU161">
        <v>-1</v>
      </c>
      <c r="AV161">
        <v>-1</v>
      </c>
      <c r="AW161">
        <v>-1</v>
      </c>
      <c r="AX161">
        <v>-1</v>
      </c>
      <c r="AY161">
        <v>-1</v>
      </c>
      <c r="AZ161">
        <v>-1</v>
      </c>
      <c r="BA161">
        <v>-1</v>
      </c>
      <c r="BB161">
        <v>-1</v>
      </c>
      <c r="BC161">
        <v>-1</v>
      </c>
      <c r="BD161">
        <v>-1</v>
      </c>
      <c r="BE161">
        <v>-1</v>
      </c>
      <c r="BF161">
        <v>-1</v>
      </c>
      <c r="BG161">
        <v>-1</v>
      </c>
      <c r="BH161">
        <v>-1</v>
      </c>
      <c r="BI161">
        <v>-1</v>
      </c>
      <c r="BJ161">
        <v>-1</v>
      </c>
      <c r="BK161">
        <v>-1</v>
      </c>
      <c r="BL161">
        <v>-1</v>
      </c>
      <c r="BM161">
        <v>-1</v>
      </c>
      <c r="BN161">
        <v>-1</v>
      </c>
      <c r="BO161">
        <v>-1</v>
      </c>
      <c r="BP161">
        <v>-1</v>
      </c>
      <c r="BQ161">
        <v>-1</v>
      </c>
      <c r="BR161">
        <v>-1</v>
      </c>
      <c r="BS161">
        <v>-1</v>
      </c>
      <c r="BT161">
        <v>-1</v>
      </c>
      <c r="BU161">
        <v>-1</v>
      </c>
      <c r="BV161">
        <v>-1</v>
      </c>
      <c r="BW161">
        <v>-1</v>
      </c>
      <c r="BX161">
        <v>-1</v>
      </c>
      <c r="BY161">
        <v>-1</v>
      </c>
      <c r="BZ161">
        <v>-1</v>
      </c>
      <c r="CA161">
        <v>-1</v>
      </c>
      <c r="CB161">
        <v>-1</v>
      </c>
      <c r="CC161">
        <v>-1</v>
      </c>
      <c r="CD161">
        <v>-1</v>
      </c>
      <c r="CE161">
        <v>-1</v>
      </c>
      <c r="CF161">
        <v>-1</v>
      </c>
      <c r="CG161">
        <v>-1</v>
      </c>
      <c r="CH161">
        <v>-1</v>
      </c>
      <c r="CI161">
        <v>-1</v>
      </c>
      <c r="CJ161">
        <v>-1</v>
      </c>
      <c r="CK161">
        <v>-1</v>
      </c>
      <c r="CL161">
        <v>-1</v>
      </c>
      <c r="CM161">
        <v>-1</v>
      </c>
      <c r="CN161">
        <v>-1</v>
      </c>
      <c r="CO161">
        <v>-1</v>
      </c>
      <c r="CP161">
        <v>-1</v>
      </c>
      <c r="CQ161">
        <v>-1</v>
      </c>
      <c r="CR161">
        <v>-1</v>
      </c>
      <c r="CS161">
        <v>-1</v>
      </c>
      <c r="CT161">
        <v>-1</v>
      </c>
      <c r="CU161">
        <v>-1</v>
      </c>
      <c r="CV161">
        <v>-1</v>
      </c>
      <c r="CW161">
        <v>-1</v>
      </c>
      <c r="CX161" s="141"/>
      <c r="CY161">
        <v>2</v>
      </c>
      <c r="CZ161">
        <v>25</v>
      </c>
      <c r="DA161" t="s">
        <v>773</v>
      </c>
      <c r="DB161" s="29" t="s">
        <v>897</v>
      </c>
    </row>
    <row r="162" spans="1:106" x14ac:dyDescent="0.35">
      <c r="A162" t="s">
        <v>774</v>
      </c>
      <c r="B162">
        <v>0</v>
      </c>
      <c r="C162">
        <v>0</v>
      </c>
      <c r="D162">
        <v>1</v>
      </c>
      <c r="E162">
        <v>1</v>
      </c>
      <c r="F162">
        <v>1</v>
      </c>
      <c r="G162">
        <v>1</v>
      </c>
      <c r="H162">
        <v>1</v>
      </c>
      <c r="I162">
        <v>1</v>
      </c>
      <c r="J162">
        <v>1</v>
      </c>
      <c r="K162">
        <v>1</v>
      </c>
      <c r="L162">
        <v>1</v>
      </c>
      <c r="M162">
        <v>1</v>
      </c>
      <c r="N162">
        <v>1</v>
      </c>
      <c r="O162">
        <v>1</v>
      </c>
      <c r="P162">
        <v>1</v>
      </c>
      <c r="Q162">
        <v>1</v>
      </c>
      <c r="R162">
        <v>1</v>
      </c>
      <c r="S162">
        <v>1</v>
      </c>
      <c r="T162">
        <v>1</v>
      </c>
      <c r="U162">
        <v>1</v>
      </c>
      <c r="V162">
        <v>1</v>
      </c>
      <c r="W162">
        <v>1</v>
      </c>
      <c r="X162">
        <v>1</v>
      </c>
      <c r="Y162">
        <v>1</v>
      </c>
      <c r="Z162">
        <v>1</v>
      </c>
      <c r="AA162">
        <v>1</v>
      </c>
      <c r="AB162">
        <v>1</v>
      </c>
      <c r="AC162">
        <v>1</v>
      </c>
      <c r="AD162">
        <v>1</v>
      </c>
      <c r="AE162">
        <v>1</v>
      </c>
      <c r="AF162">
        <v>1</v>
      </c>
      <c r="AG162">
        <v>1</v>
      </c>
      <c r="AH162">
        <v>-1</v>
      </c>
      <c r="AI162">
        <v>-1</v>
      </c>
      <c r="AJ162">
        <v>-1</v>
      </c>
      <c r="AK162">
        <v>-1</v>
      </c>
      <c r="AL162">
        <v>-1</v>
      </c>
      <c r="AM162">
        <v>-1</v>
      </c>
      <c r="AN162">
        <v>-1</v>
      </c>
      <c r="AO162">
        <v>-1</v>
      </c>
      <c r="AP162">
        <v>-1</v>
      </c>
      <c r="AQ162">
        <v>-1</v>
      </c>
      <c r="AR162">
        <v>-1</v>
      </c>
      <c r="AS162">
        <v>-1</v>
      </c>
      <c r="AT162">
        <v>-1</v>
      </c>
      <c r="AU162">
        <v>-1</v>
      </c>
      <c r="AV162">
        <v>-1</v>
      </c>
      <c r="AW162">
        <v>-1</v>
      </c>
      <c r="AX162">
        <v>-1</v>
      </c>
      <c r="AY162">
        <v>-1</v>
      </c>
      <c r="AZ162">
        <v>-1</v>
      </c>
      <c r="BA162">
        <v>-1</v>
      </c>
      <c r="BB162">
        <v>-1</v>
      </c>
      <c r="BC162">
        <v>-1</v>
      </c>
      <c r="BD162">
        <v>-1</v>
      </c>
      <c r="BE162">
        <v>-1</v>
      </c>
      <c r="BF162">
        <v>-1</v>
      </c>
      <c r="BG162">
        <v>-1</v>
      </c>
      <c r="BH162">
        <v>-1</v>
      </c>
      <c r="BI162">
        <v>-1</v>
      </c>
      <c r="BJ162">
        <v>-1</v>
      </c>
      <c r="BK162">
        <v>-1</v>
      </c>
      <c r="BL162">
        <v>-1</v>
      </c>
      <c r="BM162">
        <v>-1</v>
      </c>
      <c r="BN162">
        <v>-1</v>
      </c>
      <c r="BO162">
        <v>-1</v>
      </c>
      <c r="BP162">
        <v>-1</v>
      </c>
      <c r="BQ162">
        <v>-1</v>
      </c>
      <c r="BR162">
        <v>-1</v>
      </c>
      <c r="BS162">
        <v>-1</v>
      </c>
      <c r="BT162">
        <v>-1</v>
      </c>
      <c r="BU162">
        <v>-1</v>
      </c>
      <c r="BV162">
        <v>-1</v>
      </c>
      <c r="BW162">
        <v>-1</v>
      </c>
      <c r="BX162">
        <v>-1</v>
      </c>
      <c r="BY162">
        <v>-1</v>
      </c>
      <c r="BZ162">
        <v>-1</v>
      </c>
      <c r="CA162">
        <v>-1</v>
      </c>
      <c r="CB162">
        <v>-1</v>
      </c>
      <c r="CC162">
        <v>-1</v>
      </c>
      <c r="CD162">
        <v>-1</v>
      </c>
      <c r="CE162">
        <v>-1</v>
      </c>
      <c r="CF162">
        <v>-1</v>
      </c>
      <c r="CG162">
        <v>-1</v>
      </c>
      <c r="CH162">
        <v>-1</v>
      </c>
      <c r="CI162">
        <v>-1</v>
      </c>
      <c r="CJ162">
        <v>-1</v>
      </c>
      <c r="CK162">
        <v>-1</v>
      </c>
      <c r="CL162">
        <v>-1</v>
      </c>
      <c r="CM162">
        <v>-1</v>
      </c>
      <c r="CN162">
        <v>-1</v>
      </c>
      <c r="CO162">
        <v>-1</v>
      </c>
      <c r="CP162">
        <v>-1</v>
      </c>
      <c r="CQ162">
        <v>-1</v>
      </c>
      <c r="CR162">
        <v>-1</v>
      </c>
      <c r="CS162">
        <v>-1</v>
      </c>
      <c r="CT162">
        <v>-1</v>
      </c>
      <c r="CU162">
        <v>-1</v>
      </c>
      <c r="CV162">
        <v>-1</v>
      </c>
      <c r="CW162">
        <v>-1</v>
      </c>
      <c r="CX162" s="141"/>
      <c r="CY162">
        <v>2</v>
      </c>
      <c r="CZ162">
        <v>30</v>
      </c>
      <c r="DA162" t="s">
        <v>774</v>
      </c>
      <c r="DB162" t="s">
        <v>893</v>
      </c>
    </row>
    <row r="163" spans="1:106" x14ac:dyDescent="0.35">
      <c r="A163" t="s">
        <v>775</v>
      </c>
      <c r="B163">
        <v>0</v>
      </c>
      <c r="C163">
        <v>0</v>
      </c>
      <c r="D163">
        <v>1</v>
      </c>
      <c r="E163">
        <v>1</v>
      </c>
      <c r="F163">
        <v>1</v>
      </c>
      <c r="G163">
        <v>1</v>
      </c>
      <c r="H163">
        <v>1</v>
      </c>
      <c r="I163">
        <v>1</v>
      </c>
      <c r="J163">
        <v>1</v>
      </c>
      <c r="K163">
        <v>1</v>
      </c>
      <c r="L163">
        <v>1</v>
      </c>
      <c r="M163">
        <v>1</v>
      </c>
      <c r="N163">
        <v>1</v>
      </c>
      <c r="O163">
        <v>1</v>
      </c>
      <c r="P163">
        <v>1</v>
      </c>
      <c r="Q163">
        <v>1</v>
      </c>
      <c r="R163">
        <v>1</v>
      </c>
      <c r="S163">
        <v>1</v>
      </c>
      <c r="T163">
        <v>1</v>
      </c>
      <c r="U163">
        <v>1</v>
      </c>
      <c r="V163">
        <v>1</v>
      </c>
      <c r="W163">
        <v>1</v>
      </c>
      <c r="X163">
        <v>1</v>
      </c>
      <c r="Y163">
        <v>1</v>
      </c>
      <c r="Z163">
        <v>1</v>
      </c>
      <c r="AA163">
        <v>1</v>
      </c>
      <c r="AB163">
        <v>1</v>
      </c>
      <c r="AC163">
        <v>1</v>
      </c>
      <c r="AD163">
        <v>1</v>
      </c>
      <c r="AE163">
        <v>1</v>
      </c>
      <c r="AF163">
        <v>1</v>
      </c>
      <c r="AG163">
        <v>1</v>
      </c>
      <c r="AH163">
        <v>-1</v>
      </c>
      <c r="AI163">
        <v>-1</v>
      </c>
      <c r="AJ163">
        <v>-1</v>
      </c>
      <c r="AK163">
        <v>-1</v>
      </c>
      <c r="AL163">
        <v>-1</v>
      </c>
      <c r="AM163">
        <v>-1</v>
      </c>
      <c r="AN163">
        <v>-1</v>
      </c>
      <c r="AO163">
        <v>-1</v>
      </c>
      <c r="AP163">
        <v>-1</v>
      </c>
      <c r="AQ163">
        <v>-1</v>
      </c>
      <c r="AR163">
        <v>-1</v>
      </c>
      <c r="AS163">
        <v>-1</v>
      </c>
      <c r="AT163">
        <v>-1</v>
      </c>
      <c r="AU163">
        <v>-1</v>
      </c>
      <c r="AV163">
        <v>-1</v>
      </c>
      <c r="AW163">
        <v>-1</v>
      </c>
      <c r="AX163">
        <v>-1</v>
      </c>
      <c r="AY163">
        <v>-1</v>
      </c>
      <c r="AZ163">
        <v>-1</v>
      </c>
      <c r="BA163">
        <v>-1</v>
      </c>
      <c r="BB163">
        <v>-1</v>
      </c>
      <c r="BC163">
        <v>-1</v>
      </c>
      <c r="BD163">
        <v>-1</v>
      </c>
      <c r="BE163">
        <v>-1</v>
      </c>
      <c r="BF163">
        <v>-1</v>
      </c>
      <c r="BG163">
        <v>-1</v>
      </c>
      <c r="BH163">
        <v>-1</v>
      </c>
      <c r="BI163">
        <v>-1</v>
      </c>
      <c r="BJ163">
        <v>-1</v>
      </c>
      <c r="BK163">
        <v>-1</v>
      </c>
      <c r="BL163">
        <v>-1</v>
      </c>
      <c r="BM163">
        <v>-1</v>
      </c>
      <c r="BN163">
        <v>-1</v>
      </c>
      <c r="BO163">
        <v>-1</v>
      </c>
      <c r="BP163">
        <v>-1</v>
      </c>
      <c r="BQ163">
        <v>-1</v>
      </c>
      <c r="BR163">
        <v>-1</v>
      </c>
      <c r="BS163">
        <v>-1</v>
      </c>
      <c r="BT163">
        <v>-1</v>
      </c>
      <c r="BU163">
        <v>-1</v>
      </c>
      <c r="BV163">
        <v>-1</v>
      </c>
      <c r="BW163">
        <v>-1</v>
      </c>
      <c r="BX163">
        <v>-1</v>
      </c>
      <c r="BY163">
        <v>-1</v>
      </c>
      <c r="BZ163">
        <v>-1</v>
      </c>
      <c r="CA163">
        <v>-1</v>
      </c>
      <c r="CB163">
        <v>-1</v>
      </c>
      <c r="CC163">
        <v>-1</v>
      </c>
      <c r="CD163">
        <v>-1</v>
      </c>
      <c r="CE163">
        <v>-1</v>
      </c>
      <c r="CF163">
        <v>-1</v>
      </c>
      <c r="CG163">
        <v>-1</v>
      </c>
      <c r="CH163">
        <v>-1</v>
      </c>
      <c r="CI163">
        <v>-1</v>
      </c>
      <c r="CJ163">
        <v>-1</v>
      </c>
      <c r="CK163">
        <v>-1</v>
      </c>
      <c r="CL163">
        <v>-1</v>
      </c>
      <c r="CM163">
        <v>-1</v>
      </c>
      <c r="CN163">
        <v>-1</v>
      </c>
      <c r="CO163">
        <v>-1</v>
      </c>
      <c r="CP163">
        <v>-1</v>
      </c>
      <c r="CQ163">
        <v>-1</v>
      </c>
      <c r="CR163">
        <v>-1</v>
      </c>
      <c r="CS163">
        <v>-1</v>
      </c>
      <c r="CT163">
        <v>-1</v>
      </c>
      <c r="CU163">
        <v>-1</v>
      </c>
      <c r="CV163">
        <v>-1</v>
      </c>
      <c r="CW163">
        <v>-1</v>
      </c>
      <c r="CX163" s="141"/>
      <c r="CY163">
        <v>2</v>
      </c>
      <c r="CZ163">
        <v>30</v>
      </c>
      <c r="DA163" t="s">
        <v>775</v>
      </c>
      <c r="DB163" s="29" t="s">
        <v>893</v>
      </c>
    </row>
    <row r="164" spans="1:106" x14ac:dyDescent="0.35">
      <c r="A164" t="s">
        <v>526</v>
      </c>
      <c r="B164">
        <v>0</v>
      </c>
      <c r="C164">
        <v>0</v>
      </c>
      <c r="D164">
        <v>1</v>
      </c>
      <c r="E164">
        <v>1</v>
      </c>
      <c r="F164">
        <v>1</v>
      </c>
      <c r="G164">
        <v>1</v>
      </c>
      <c r="H164">
        <v>1</v>
      </c>
      <c r="I164">
        <v>1</v>
      </c>
      <c r="J164">
        <v>1</v>
      </c>
      <c r="K164">
        <v>1</v>
      </c>
      <c r="L164">
        <v>1</v>
      </c>
      <c r="M164">
        <v>1</v>
      </c>
      <c r="N164">
        <v>1</v>
      </c>
      <c r="O164">
        <v>1</v>
      </c>
      <c r="P164">
        <v>1</v>
      </c>
      <c r="Q164">
        <v>1</v>
      </c>
      <c r="R164">
        <v>1</v>
      </c>
      <c r="S164">
        <v>1</v>
      </c>
      <c r="T164">
        <v>1</v>
      </c>
      <c r="U164">
        <v>1</v>
      </c>
      <c r="V164">
        <v>1</v>
      </c>
      <c r="W164">
        <v>1</v>
      </c>
      <c r="X164">
        <v>1</v>
      </c>
      <c r="Y164">
        <v>1</v>
      </c>
      <c r="Z164">
        <v>1</v>
      </c>
      <c r="AA164">
        <v>1</v>
      </c>
      <c r="AB164">
        <v>1</v>
      </c>
      <c r="AC164">
        <v>1</v>
      </c>
      <c r="AD164">
        <v>1</v>
      </c>
      <c r="AE164">
        <v>1</v>
      </c>
      <c r="AF164">
        <v>1</v>
      </c>
      <c r="AG164">
        <v>1</v>
      </c>
      <c r="AH164">
        <v>-1</v>
      </c>
      <c r="AI164">
        <v>-1</v>
      </c>
      <c r="AJ164">
        <v>-1</v>
      </c>
      <c r="AK164">
        <v>-1</v>
      </c>
      <c r="AL164">
        <v>-1</v>
      </c>
      <c r="AM164">
        <v>-1</v>
      </c>
      <c r="AN164">
        <v>-1</v>
      </c>
      <c r="AO164">
        <v>-1</v>
      </c>
      <c r="AP164">
        <v>-1</v>
      </c>
      <c r="AQ164">
        <v>-1</v>
      </c>
      <c r="AR164">
        <v>-1</v>
      </c>
      <c r="AS164">
        <v>-1</v>
      </c>
      <c r="AT164">
        <v>-1</v>
      </c>
      <c r="AU164">
        <v>-1</v>
      </c>
      <c r="AV164">
        <v>-1</v>
      </c>
      <c r="AW164">
        <v>-1</v>
      </c>
      <c r="AX164">
        <v>-1</v>
      </c>
      <c r="AY164">
        <v>-1</v>
      </c>
      <c r="AZ164">
        <v>-1</v>
      </c>
      <c r="BA164">
        <v>-1</v>
      </c>
      <c r="BB164">
        <v>-1</v>
      </c>
      <c r="BC164">
        <v>-1</v>
      </c>
      <c r="BD164">
        <v>-1</v>
      </c>
      <c r="BE164">
        <v>-1</v>
      </c>
      <c r="BF164">
        <v>-1</v>
      </c>
      <c r="BG164">
        <v>-1</v>
      </c>
      <c r="BH164">
        <v>-1</v>
      </c>
      <c r="BI164">
        <v>-1</v>
      </c>
      <c r="BJ164">
        <v>-1</v>
      </c>
      <c r="BK164">
        <v>-1</v>
      </c>
      <c r="BL164">
        <v>-1</v>
      </c>
      <c r="BM164">
        <v>-1</v>
      </c>
      <c r="BN164">
        <v>-1</v>
      </c>
      <c r="BO164">
        <v>-1</v>
      </c>
      <c r="BP164">
        <v>-1</v>
      </c>
      <c r="BQ164">
        <v>-1</v>
      </c>
      <c r="BR164">
        <v>-1</v>
      </c>
      <c r="BS164">
        <v>-1</v>
      </c>
      <c r="BT164">
        <v>-1</v>
      </c>
      <c r="BU164">
        <v>-1</v>
      </c>
      <c r="BV164">
        <v>-1</v>
      </c>
      <c r="BW164">
        <v>-1</v>
      </c>
      <c r="BX164">
        <v>-1</v>
      </c>
      <c r="BY164">
        <v>-1</v>
      </c>
      <c r="BZ164">
        <v>-1</v>
      </c>
      <c r="CA164">
        <v>-1</v>
      </c>
      <c r="CB164">
        <v>-1</v>
      </c>
      <c r="CC164">
        <v>-1</v>
      </c>
      <c r="CD164">
        <v>-1</v>
      </c>
      <c r="CE164">
        <v>-1</v>
      </c>
      <c r="CF164">
        <v>-1</v>
      </c>
      <c r="CG164">
        <v>-1</v>
      </c>
      <c r="CH164">
        <v>-1</v>
      </c>
      <c r="CI164">
        <v>-1</v>
      </c>
      <c r="CJ164">
        <v>-1</v>
      </c>
      <c r="CK164">
        <v>-1</v>
      </c>
      <c r="CL164">
        <v>-1</v>
      </c>
      <c r="CM164">
        <v>-1</v>
      </c>
      <c r="CN164">
        <v>-1</v>
      </c>
      <c r="CO164">
        <v>-1</v>
      </c>
      <c r="CP164">
        <v>-1</v>
      </c>
      <c r="CQ164">
        <v>-1</v>
      </c>
      <c r="CR164">
        <v>-1</v>
      </c>
      <c r="CS164">
        <v>-1</v>
      </c>
      <c r="CT164">
        <v>-1</v>
      </c>
      <c r="CU164">
        <v>-1</v>
      </c>
      <c r="CV164">
        <v>-1</v>
      </c>
      <c r="CW164">
        <v>-1</v>
      </c>
      <c r="CX164" s="141"/>
      <c r="CY164">
        <v>2</v>
      </c>
      <c r="CZ164">
        <v>30</v>
      </c>
      <c r="DA164" t="s">
        <v>526</v>
      </c>
      <c r="DB164" s="29" t="s">
        <v>893</v>
      </c>
    </row>
  </sheetData>
  <mergeCells count="2">
    <mergeCell ref="B91:D91"/>
    <mergeCell ref="B102:D102"/>
  </mergeCells>
  <phoneticPr fontId="22" type="noConversion"/>
  <conditionalFormatting sqref="B123:CW164">
    <cfRule type="colorScale" priority="1">
      <colorScale>
        <cfvo type="min"/>
        <cfvo type="percentile" val="50"/>
        <cfvo type="max"/>
        <color rgb="FFF8696B"/>
        <color rgb="FFFFEB84"/>
        <color rgb="FF63BE7B"/>
      </colorScale>
    </cfRule>
  </conditionalFormatting>
  <pageMargins left="0.7" right="0.7" top="0.78740157499999996" bottom="0.78740157499999996"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647</vt:i4>
      </vt:variant>
    </vt:vector>
  </HeadingPairs>
  <TitlesOfParts>
    <vt:vector size="662" baseType="lpstr">
      <vt:lpstr>PV</vt:lpstr>
      <vt:lpstr>ChangeLog</vt:lpstr>
      <vt:lpstr>Template</vt:lpstr>
      <vt:lpstr>EU27</vt:lpstr>
      <vt:lpstr>UK</vt:lpstr>
      <vt:lpstr>EASOC</vt:lpstr>
      <vt:lpstr>CHINA</vt:lpstr>
      <vt:lpstr>INDIA</vt:lpstr>
      <vt:lpstr>LATAM</vt:lpstr>
      <vt:lpstr>RUSSIA</vt:lpstr>
      <vt:lpstr>USMCA</vt:lpstr>
      <vt:lpstr>LROW</vt:lpstr>
      <vt:lpstr>allocation_new_capacity_subtech</vt:lpstr>
      <vt:lpstr>World</vt:lpstr>
      <vt:lpstr>Common</vt:lpstr>
      <vt:lpstr>World!adjust_energy_for_transport_to_inland_transport</vt:lpstr>
      <vt:lpstr>World!Annual_growth_start_production_biofuels_marginal_lands</vt:lpstr>
      <vt:lpstr>World!Annual_shift_from_2gen_to_3gen_biofuels_land_compet</vt:lpstr>
      <vt:lpstr>World!Auxiliary_metabolic_EROI</vt:lpstr>
      <vt:lpstr>World!Average_global_irradiance</vt:lpstr>
      <vt:lpstr>World!average_price_2w_vehicle</vt:lpstr>
      <vt:lpstr>World!average_price_4w_vehicle</vt:lpstr>
      <vt:lpstr>World!bateries_2_wheels_elec</vt:lpstr>
      <vt:lpstr>World!bateries_4w_elect_household</vt:lpstr>
      <vt:lpstr>World!bateries_bus_elec</vt:lpstr>
      <vt:lpstr>World!bateries_bus_hib</vt:lpstr>
      <vt:lpstr>World!bateries_HV_hyb</vt:lpstr>
      <vt:lpstr>World!bateries_LV_elec</vt:lpstr>
      <vt:lpstr>World!bateries_LV_hyb</vt:lpstr>
      <vt:lpstr>World!BG_Mohr15_unconv_gas</vt:lpstr>
      <vt:lpstr>World!BG_Mohr15_unconv_gas_extraction</vt:lpstr>
      <vt:lpstr>World!BG_Mohr15_unconv_gas_remaining</vt:lpstr>
      <vt:lpstr>World!BG_mohr15_unconv_oil</vt:lpstr>
      <vt:lpstr>World!BG_mohr15_unconv_oil_URR_extraction</vt:lpstr>
      <vt:lpstr>World!BG_mohr15_unconv_oil_URR_remaining</vt:lpstr>
      <vt:lpstr>World!BG_Mohr2015_coal</vt:lpstr>
      <vt:lpstr>World!BG_Mohr2015_coal_extraction</vt:lpstr>
      <vt:lpstr>World!BG_Mohr2015_coal_remaining</vt:lpstr>
      <vt:lpstr>World!BG_Mohr2015_conv_gas</vt:lpstr>
      <vt:lpstr>World!BG_Mohr2015_conv_gas_extraction</vt:lpstr>
      <vt:lpstr>World!BG_Mohr2015_conv_gas_remaining</vt:lpstr>
      <vt:lpstr>World!bioE_initial_power_density</vt:lpstr>
      <vt:lpstr>World!Biofuel_production_2015</vt:lpstr>
      <vt:lpstr>World!Biofuels</vt:lpstr>
      <vt:lpstr>World!Biofuels_in_marginal_lands</vt:lpstr>
      <vt:lpstr>World!Biofuels_past_growth</vt:lpstr>
      <vt:lpstr>World!Biogases_EJ</vt:lpstr>
      <vt:lpstr>World!biomass_CO2_emissions</vt:lpstr>
      <vt:lpstr>World!bus_elec</vt:lpstr>
      <vt:lpstr>World!bus_gas</vt:lpstr>
      <vt:lpstr>World!bus_hyb</vt:lpstr>
      <vt:lpstr>World!bus_liq</vt:lpstr>
      <vt:lpstr>World!by_default_ratio_energy_cons_recycled_vs_virgin_minerals</vt:lpstr>
      <vt:lpstr>World!Capacity_EV_battery</vt:lpstr>
      <vt:lpstr>CHINA!capacity_expansion_limits_relative_per_transformation_process</vt:lpstr>
      <vt:lpstr>EASOC!capacity_expansion_limits_relative_per_transformation_process</vt:lpstr>
      <vt:lpstr>'EU27'!capacity_expansion_limits_relative_per_transformation_process</vt:lpstr>
      <vt:lpstr>INDIA!capacity_expansion_limits_relative_per_transformation_process</vt:lpstr>
      <vt:lpstr>LATAM!capacity_expansion_limits_relative_per_transformation_process</vt:lpstr>
      <vt:lpstr>LROW!capacity_expansion_limits_relative_per_transformation_process</vt:lpstr>
      <vt:lpstr>RUSSIA!capacity_expansion_limits_relative_per_transformation_process</vt:lpstr>
      <vt:lpstr>Template!capacity_expansion_limits_relative_per_transformation_process</vt:lpstr>
      <vt:lpstr>UK!capacity_expansion_limits_relative_per_transformation_process</vt:lpstr>
      <vt:lpstr>USMCA!capacity_expansion_limits_relative_per_transformation_process</vt:lpstr>
      <vt:lpstr>World!Cell_efficiency_conversion_of_solar_PV</vt:lpstr>
      <vt:lpstr>World!CF_EV_batteries</vt:lpstr>
      <vt:lpstr>World!CF_hydro_2015</vt:lpstr>
      <vt:lpstr>World!CF_ini_bioE_elec</vt:lpstr>
      <vt:lpstr>World!CF_ini_CSP</vt:lpstr>
      <vt:lpstr>World!CF_ini_geot_elec</vt:lpstr>
      <vt:lpstr>World!CF_ini_hydro</vt:lpstr>
      <vt:lpstr>World!CF_ini_oceanic</vt:lpstr>
      <vt:lpstr>World!CF_ini_RES_for_heat</vt:lpstr>
      <vt:lpstr>World!CF_ini_solar_PV</vt:lpstr>
      <vt:lpstr>World!CF_ini_wind_offshore</vt:lpstr>
      <vt:lpstr>World!CF_ini_wind_onshore</vt:lpstr>
      <vt:lpstr>World!CF_init_nuclear</vt:lpstr>
      <vt:lpstr>World!CF_PHS</vt:lpstr>
      <vt:lpstr>Common!CF_PROSUP_ELEC2HEAT</vt:lpstr>
      <vt:lpstr>World!coal</vt:lpstr>
      <vt:lpstr>World!COAL_pct_losses</vt:lpstr>
      <vt:lpstr>World!Conv_efficiency_from_NPP_to_biofuels</vt:lpstr>
      <vt:lpstr>World!conventional_gas</vt:lpstr>
      <vt:lpstr>World!conventional_oil</vt:lpstr>
      <vt:lpstr>CHINA!conversion_efficiency_per_refinery_process</vt:lpstr>
      <vt:lpstr>EASOC!conversion_efficiency_per_refinery_process</vt:lpstr>
      <vt:lpstr>'EU27'!conversion_efficiency_per_refinery_process</vt:lpstr>
      <vt:lpstr>INDIA!conversion_efficiency_per_refinery_process</vt:lpstr>
      <vt:lpstr>LATAM!conversion_efficiency_per_refinery_process</vt:lpstr>
      <vt:lpstr>LROW!conversion_efficiency_per_refinery_process</vt:lpstr>
      <vt:lpstr>RUSSIA!conversion_efficiency_per_refinery_process</vt:lpstr>
      <vt:lpstr>Template!conversion_efficiency_per_refinery_process</vt:lpstr>
      <vt:lpstr>UK!conversion_efficiency_per_refinery_process</vt:lpstr>
      <vt:lpstr>USMCA!conversion_efficiency_per_refinery_process</vt:lpstr>
      <vt:lpstr>Common!CORRESPONDENCE_MATRIX_TO_INPUT_OUTPUT_PROSUP_H2_PER_COMMODITY</vt:lpstr>
      <vt:lpstr>World!CSP_initial_power_density</vt:lpstr>
      <vt:lpstr>World!CSP_past_capacity_growth</vt:lpstr>
      <vt:lpstr>World!cumulated_coal_extraction_to_2005</vt:lpstr>
      <vt:lpstr>World!cumulated_conv_gas_extraction_to_2005</vt:lpstr>
      <vt:lpstr>World!cumulated_conv_oil_extraction_to_2005</vt:lpstr>
      <vt:lpstr>World!cumulated_unconv_gas_extraction_to_2005</vt:lpstr>
      <vt:lpstr>World!cumulated_unconv_oil_extraction_to_2005</vt:lpstr>
      <vt:lpstr>World!cumulated_uranium_extraction_to_2005</vt:lpstr>
      <vt:lpstr>World!Cumulative_CO2_emissions_1751_1995</vt:lpstr>
      <vt:lpstr>CURRENT_GRIDS_O_AND_M_PV_TECHNOLOGIES_ENERGY</vt:lpstr>
      <vt:lpstr>DECOMISSIONING_ENERGY_RATIO_PV_TECHNOLOGIES</vt:lpstr>
      <vt:lpstr>World!Decommissiong_time_nuclear</vt:lpstr>
      <vt:lpstr>World!DH_0</vt:lpstr>
      <vt:lpstr>World!ebike_average_price</vt:lpstr>
      <vt:lpstr>World!ebikes_bateries_ratio</vt:lpstr>
      <vt:lpstr>World!ebikes_initial_percentage</vt:lpstr>
      <vt:lpstr>World!ebikes_saving_ratio</vt:lpstr>
      <vt:lpstr>EFFICIENCES_MAX_PV_TECHNOLOGY</vt:lpstr>
      <vt:lpstr>World!efficiency_biogas_for_elec_in_CHP_plants</vt:lpstr>
      <vt:lpstr>World!efficiency_biogas_for_elec_plants</vt:lpstr>
      <vt:lpstr>World!efficiency_biogas_for_heat_in_CHP_plants</vt:lpstr>
      <vt:lpstr>World!efficiency_biogas_for_heat_plants</vt:lpstr>
      <vt:lpstr>World!Efficiency_coal_for_electricity</vt:lpstr>
      <vt:lpstr>World!Efficiency_conversion_BioE_plants_to_heat</vt:lpstr>
      <vt:lpstr>World!Efficiency_conversion_bioE_to_Elec</vt:lpstr>
      <vt:lpstr>World!Efficiency_conversion_geot_PE_to_Elec</vt:lpstr>
      <vt:lpstr>World!Efficiency_elec_CHP_plants_coal</vt:lpstr>
      <vt:lpstr>World!Efficiency_elec_CHP_plants_gas</vt:lpstr>
      <vt:lpstr>World!Efficiency_elec_CHP_plants_oil</vt:lpstr>
      <vt:lpstr>World!Efficiency_geothermal_for_heat</vt:lpstr>
      <vt:lpstr>World!Efficiency_heat_CHP_plants_coal</vt:lpstr>
      <vt:lpstr>World!Efficiency_heat_CHP_plants_gas</vt:lpstr>
      <vt:lpstr>World!Efficiency_heat_CHP_plants_oil</vt:lpstr>
      <vt:lpstr>World!Efficiency_Heat_plants_coal</vt:lpstr>
      <vt:lpstr>World!Efficiency_Heat_plants_gas</vt:lpstr>
      <vt:lpstr>World!Efficiency_Heat_plants_oil</vt:lpstr>
      <vt:lpstr>World!Efficiency_improv_gas_for_electricity</vt:lpstr>
      <vt:lpstr>World!Efficiency_improvement_3gen</vt:lpstr>
      <vt:lpstr>World!Efficiency_liquids_for_electricity</vt:lpstr>
      <vt:lpstr>World!Efficiency_solar_panels_for_heat</vt:lpstr>
      <vt:lpstr>World!Efficiency_uranium_for_electricity</vt:lpstr>
      <vt:lpstr>World!efficiency_waste_for_elec_in_CHP_plants</vt:lpstr>
      <vt:lpstr>World!efficiency_waste_for_elec_plants</vt:lpstr>
      <vt:lpstr>World!efficiency_waste_for_heat_in_CHP_plants</vt:lpstr>
      <vt:lpstr>World!efficiency_waste_for_heat_plants</vt:lpstr>
      <vt:lpstr>World!ELECTRICITY_HEAT</vt:lpstr>
      <vt:lpstr>World!energy_bus_elec</vt:lpstr>
      <vt:lpstr>World!energy_bus_gas</vt:lpstr>
      <vt:lpstr>World!energy_bus_hyb</vt:lpstr>
      <vt:lpstr>World!energy_bus_liq</vt:lpstr>
      <vt:lpstr>World!energy_H_4w_elec</vt:lpstr>
      <vt:lpstr>World!energy_H_4w_gas</vt:lpstr>
      <vt:lpstr>World!energy_H_4w_hyb</vt:lpstr>
      <vt:lpstr>World!energy_H_4w_liq</vt:lpstr>
      <vt:lpstr>World!energy_H2w_E</vt:lpstr>
      <vt:lpstr>World!energy_H2w_liq</vt:lpstr>
      <vt:lpstr>World!energy_HV_gas</vt:lpstr>
      <vt:lpstr>World!energy_HV_hib</vt:lpstr>
      <vt:lpstr>World!energy_HV_liq</vt:lpstr>
      <vt:lpstr>World!Energy_industry_own_use</vt:lpstr>
      <vt:lpstr>World!energy_LV_elec</vt:lpstr>
      <vt:lpstr>World!energy_LV_gas</vt:lpstr>
      <vt:lpstr>World!energy_LV_hyb</vt:lpstr>
      <vt:lpstr>World!energy_LV_liq</vt:lpstr>
      <vt:lpstr>World!energy_train_elec</vt:lpstr>
      <vt:lpstr>World!energy_train_liq</vt:lpstr>
      <vt:lpstr>World!energy_train_liq_E</vt:lpstr>
      <vt:lpstr>World!EROIst_CSP</vt:lpstr>
      <vt:lpstr>World!EROIst_geot_elec</vt:lpstr>
      <vt:lpstr>World!EROIst_ini_hydro_2015</vt:lpstr>
      <vt:lpstr>World!EROIst_initial_Hydro</vt:lpstr>
      <vt:lpstr>World!EROIst_oceanic</vt:lpstr>
      <vt:lpstr>World!EROIst_solar_PV</vt:lpstr>
      <vt:lpstr>World!EROIst_solid_bioE_elec</vt:lpstr>
      <vt:lpstr>World!EROIst_wind_offshore</vt:lpstr>
      <vt:lpstr>World!EROIst_wind_onshore</vt:lpstr>
      <vt:lpstr>World!EWG13_Uranium</vt:lpstr>
      <vt:lpstr>World!EWG13_Uranium_extraction</vt:lpstr>
      <vt:lpstr>World!EWG13_Uranium_remaining</vt:lpstr>
      <vt:lpstr>World!exp_rapid_evolution_change_energy_H</vt:lpstr>
      <vt:lpstr>World!exp_rapid_evolution_change_energy_sectors</vt:lpstr>
      <vt:lpstr>World!exp_rapid_evolution_improve_efficiency_H</vt:lpstr>
      <vt:lpstr>World!exp_rapid_evolution_improve_efficiency_sectors</vt:lpstr>
      <vt:lpstr>World!exp_slow_evolution_change_energy_H</vt:lpstr>
      <vt:lpstr>World!exp_slow_evolution_change_energy_sectors</vt:lpstr>
      <vt:lpstr>World!exp_slow_evolution_improve_efficiency_H</vt:lpstr>
      <vt:lpstr>World!exp_slow_evolution_improve_efficiency_sectors</vt:lpstr>
      <vt:lpstr>World!exponent_availability_conv_gas</vt:lpstr>
      <vt:lpstr>World!exponent_availability_conv_oil</vt:lpstr>
      <vt:lpstr>FACTOR_BACKUP_POWER_SYSTEM</vt:lpstr>
      <vt:lpstr>World!fficiency_Heat_plants_oil</vt:lpstr>
      <vt:lpstr>World!Final_before_heat_correction_to_primary_energy_2015</vt:lpstr>
      <vt:lpstr>World!Fossil_fuel_CHP</vt:lpstr>
      <vt:lpstr>World!Fossil_fuel_CHP_Elec</vt:lpstr>
      <vt:lpstr>World!Fossil_Fuel_CHP_Heat</vt:lpstr>
      <vt:lpstr>World!GASES</vt:lpstr>
      <vt:lpstr>World!Geothermal</vt:lpstr>
      <vt:lpstr>World!geothermal_initial_power_density</vt:lpstr>
      <vt:lpstr>World!Geothermal_past_capacity_growth</vt:lpstr>
      <vt:lpstr>World!Global_arable_land</vt:lpstr>
      <vt:lpstr>World!H_elec</vt:lpstr>
      <vt:lpstr>World!H_gas</vt:lpstr>
      <vt:lpstr>World!H_hyb</vt:lpstr>
      <vt:lpstr>World!H_liq</vt:lpstr>
      <vt:lpstr>World!H2w_elec</vt:lpstr>
      <vt:lpstr>World!H2w_liq</vt:lpstr>
      <vt:lpstr>World!High</vt:lpstr>
      <vt:lpstr>World!High_Mohr15_unconv_gas</vt:lpstr>
      <vt:lpstr>World!High_Mohr15_unconv_gas_extraction</vt:lpstr>
      <vt:lpstr>World!High_Mohr15_unconv_gas_remaining</vt:lpstr>
      <vt:lpstr>World!High_mohr15_unconv_oil</vt:lpstr>
      <vt:lpstr>World!High_mohr15_unconv_oil_URR_extraction</vt:lpstr>
      <vt:lpstr>World!High_mohr15_unconv_oil_URR_remaining</vt:lpstr>
      <vt:lpstr>World!High_Mohr2015_coal</vt:lpstr>
      <vt:lpstr>World!High_Mohr2015_coal_extraction</vt:lpstr>
      <vt:lpstr>World!High_Mohr2015_coal_remaining</vt:lpstr>
      <vt:lpstr>World!High_Mohr2015_conv_gas</vt:lpstr>
      <vt:lpstr>World!High_Mohr2015_conv_gas_extraction</vt:lpstr>
      <vt:lpstr>World!High_Mohr2015_conv_gas_remaining</vt:lpstr>
      <vt:lpstr>World!Hist_share_gas_vs_coal_gas_Elec</vt:lpstr>
      <vt:lpstr>World!Hist_share_gas_vs_coal_gas_heat</vt:lpstr>
      <vt:lpstr>World!Hist_share_oil_Elec</vt:lpstr>
      <vt:lpstr>World!Historic_coal_extraction</vt:lpstr>
      <vt:lpstr>World!Historic_crude_oil_extraction</vt:lpstr>
      <vt:lpstr>World!historic_elec_intensity_by_sector</vt:lpstr>
      <vt:lpstr>World!historic_elec_intensity_households</vt:lpstr>
      <vt:lpstr>World!Historic_electricity_consumption</vt:lpstr>
      <vt:lpstr>World!historic_gases_intensity_by_households</vt:lpstr>
      <vt:lpstr>World!historic_gases_intensity_by_sector</vt:lpstr>
      <vt:lpstr>World!Historic_geothermal_for_heat</vt:lpstr>
      <vt:lpstr>World!Historic_geothermal_for_heat_com</vt:lpstr>
      <vt:lpstr>World!Historic_geothermal_for_heat_nc</vt:lpstr>
      <vt:lpstr>World!historic_heat_intensity_by_households</vt:lpstr>
      <vt:lpstr>World!historic_heat_intensity_by_sector</vt:lpstr>
      <vt:lpstr>World!Historic_liquids_extraction</vt:lpstr>
      <vt:lpstr>World!historic_liquids_intensity_by_households</vt:lpstr>
      <vt:lpstr>World!historic_liquids_intensity_by_sector</vt:lpstr>
      <vt:lpstr>World!Historic_natural_gas_extraction</vt:lpstr>
      <vt:lpstr>World!historic_nuclear_generation_TWh</vt:lpstr>
      <vt:lpstr>HISTORIC_PV_MODULES_EFFICIENCY</vt:lpstr>
      <vt:lpstr>World!historic_share_installed_PV_urban_vs_tot_PV</vt:lpstr>
      <vt:lpstr>World!Historic_share_liquids_for_heat_plants</vt:lpstr>
      <vt:lpstr>World!Historic_solar_for_heat</vt:lpstr>
      <vt:lpstr>World!Historic_solar_for_heat_com</vt:lpstr>
      <vt:lpstr>World!Historic_solar_for_heat_nc</vt:lpstr>
      <vt:lpstr>World!Historic_solid_bioE_heat</vt:lpstr>
      <vt:lpstr>World!Historic_solid_bioE_heat_com</vt:lpstr>
      <vt:lpstr>World!Historic_solid_bioE_heat_nc</vt:lpstr>
      <vt:lpstr>World!historic_solids_intensity_by_households</vt:lpstr>
      <vt:lpstr>World!historic_solids_intensity_by_sector</vt:lpstr>
      <vt:lpstr>World!historic_time_index</vt:lpstr>
      <vt:lpstr>World!Historic_total_RES_extraction</vt:lpstr>
      <vt:lpstr>World!Historic_TPES</vt:lpstr>
      <vt:lpstr>World!Historic_TPES_primary_solids_biofuels</vt:lpstr>
      <vt:lpstr>World!Historical_efficiency_gas_for_electricity</vt:lpstr>
      <vt:lpstr>World!historical_mean_rate_energy_intensity</vt:lpstr>
      <vt:lpstr>World!historical_mean_rate_energy_intensity_H</vt:lpstr>
      <vt:lpstr>World!Historical_unconv_gas</vt:lpstr>
      <vt:lpstr>World!Historical_unconv_oil</vt:lpstr>
      <vt:lpstr>World!HV_gas</vt:lpstr>
      <vt:lpstr>World!HV_hyb</vt:lpstr>
      <vt:lpstr>World!HV_liq</vt:lpstr>
      <vt:lpstr>World!Hydro_past_capacity_growth</vt:lpstr>
      <vt:lpstr>World!Hydroelectricity_withouth_PHS</vt:lpstr>
      <vt:lpstr>World!Iinitial_instal_cap_Geothermal</vt:lpstr>
      <vt:lpstr>CHINA!IMV_annual_operating_hours_maximum_per_transformation_process</vt:lpstr>
      <vt:lpstr>EASOC!IMV_annual_operating_hours_maximum_per_transformation_process</vt:lpstr>
      <vt:lpstr>'EU27'!IMV_annual_operating_hours_maximum_per_transformation_process</vt:lpstr>
      <vt:lpstr>INDIA!IMV_annual_operating_hours_maximum_per_transformation_process</vt:lpstr>
      <vt:lpstr>LATAM!IMV_annual_operating_hours_maximum_per_transformation_process</vt:lpstr>
      <vt:lpstr>LROW!IMV_annual_operating_hours_maximum_per_transformation_process</vt:lpstr>
      <vt:lpstr>RUSSIA!IMV_annual_operating_hours_maximum_per_transformation_process</vt:lpstr>
      <vt:lpstr>Template!IMV_annual_operating_hours_maximum_per_transformation_process</vt:lpstr>
      <vt:lpstr>UK!IMV_annual_operating_hours_maximum_per_transformation_process</vt:lpstr>
      <vt:lpstr>USMCA!IMV_annual_operating_hours_maximum_per_transformation_process</vt:lpstr>
      <vt:lpstr>World!Initial_efficiency_gas_for_electricity</vt:lpstr>
      <vt:lpstr>World!Initial_energy_intensity_2005_H</vt:lpstr>
      <vt:lpstr>World!Initial_energy_intensity_by_fuel_and_sector_2005</vt:lpstr>
      <vt:lpstr>World!Initial_gen_nuclear</vt:lpstr>
      <vt:lpstr>World!Initial_global_energy_intensity_by_households_2009</vt:lpstr>
      <vt:lpstr>World!Initial_global_energy_intensity_by_sector_2009</vt:lpstr>
      <vt:lpstr>INITIAL_HEAT_EFFICIENCY_ELECTRIC_BOILERS</vt:lpstr>
      <vt:lpstr>INITIAL_HEAT_EFFICIENCY_HEAT_PUMPS</vt:lpstr>
      <vt:lpstr>World!Initial_install_cap_Geothermal</vt:lpstr>
      <vt:lpstr>World!Initial_install_cap_Hydroelectricity_withouth_PHS</vt:lpstr>
      <vt:lpstr>World!Initial_install_cap_Oceanic</vt:lpstr>
      <vt:lpstr>World!Initial_install_cap_Offshore_wind</vt:lpstr>
      <vt:lpstr>World!Initial_install_cap_PHS</vt:lpstr>
      <vt:lpstr>World!Initial_install_cap_Solar_CSP</vt:lpstr>
      <vt:lpstr>World!Initial_install_cap_Solar_PV</vt:lpstr>
      <vt:lpstr>World!Initial_install_cap_solid_bioenergy_for_electricity</vt:lpstr>
      <vt:lpstr>World!Initial_install_cap_Wind_onshore</vt:lpstr>
      <vt:lpstr>INITIAL_INSTALLED_CAPACITY_ELECTRIC_BOILERS</vt:lpstr>
      <vt:lpstr>INITIAL_INSTALLED_CAPACITY_HEAT_PUMPS</vt:lpstr>
      <vt:lpstr>INITIAL_LIFETIME_ELECTRIC_BOILERS</vt:lpstr>
      <vt:lpstr>INITIAL_LIFETIME_HEAT_PUMPS</vt:lpstr>
      <vt:lpstr>World!Initial_non_energy_use_ELECTRICITY_HEAT</vt:lpstr>
      <vt:lpstr>World!Initial_non_energy_use_GASES</vt:lpstr>
      <vt:lpstr>World!Initial_non_energy_use_LIQUIDS</vt:lpstr>
      <vt:lpstr>World!Initial_non_energy_use_SOLIDS</vt:lpstr>
      <vt:lpstr>World!Initial_PES_biogas</vt:lpstr>
      <vt:lpstr>World!Initial_PES_waste</vt:lpstr>
      <vt:lpstr>INITIAL_PV_MODULES_EFFICIENCY</vt:lpstr>
      <vt:lpstr>INITIAL_SHARE_WEIGHTS_EVS_BATTERIES</vt:lpstr>
      <vt:lpstr>INITIAL_SHARE_WEIGHTS_PV_TECHNOLOGIES</vt:lpstr>
      <vt:lpstr>World!Initial_value_geothermal_for_heat_com</vt:lpstr>
      <vt:lpstr>World!Initial_value_geothermal_for_heat_nc</vt:lpstr>
      <vt:lpstr>World!Initial_value_land_compet_biofuels_2gen_ktoe</vt:lpstr>
      <vt:lpstr>World!Initial_value_Solar_for_heat_com</vt:lpstr>
      <vt:lpstr>World!Initial_value_Solar_for_heat_nc</vt:lpstr>
      <vt:lpstr>World!Initial_value_solid_bioE_for_heat_com</vt:lpstr>
      <vt:lpstr>World!Initial_value_solid_bioE_for_heat_nc</vt:lpstr>
      <vt:lpstr>World!inland_transport_output_def</vt:lpstr>
      <vt:lpstr>World!inland_trasnport_econ_activity</vt:lpstr>
      <vt:lpstr>INPUTS_ENERGY_VARIABILITY_REGRESSION</vt:lpstr>
      <vt:lpstr>IRRADIANCE_STANDAR_CONDITIONS</vt:lpstr>
      <vt:lpstr>World!Laherrère_2006_total_oil</vt:lpstr>
      <vt:lpstr>World!Laherrère_2006_total_oil_share_of_unconv_vs_Total_extraction_in_2050</vt:lpstr>
      <vt:lpstr>World!Laherrère_2006_total_oil_share_of_unconv_vs_Total_extraction_in_2050_Dmnl</vt:lpstr>
      <vt:lpstr>World!Laherrère_2006_total_oil_URR_extraction</vt:lpstr>
      <vt:lpstr>World!Laherrère_2006_total_oil_URR_remaining</vt:lpstr>
      <vt:lpstr>World!Laherrère10_total_gas</vt:lpstr>
      <vt:lpstr>World!Laherrère10_total_gas_extraction</vt:lpstr>
      <vt:lpstr>World!Laherrère10_total_gas_remaining</vt:lpstr>
      <vt:lpstr>World!Laherrère10_total_gas_share_of_unconv_vs_Total_extraction_in_2050</vt:lpstr>
      <vt:lpstr>World!Laherrère2018_conv_oil</vt:lpstr>
      <vt:lpstr>World!Laherrère2018_conv_oil_extraction</vt:lpstr>
      <vt:lpstr>World!Laherrère2018_conv_oil_remaining</vt:lpstr>
      <vt:lpstr>World!Laherrère2018_total_gas</vt:lpstr>
      <vt:lpstr>World!Laherrère2018_total_gas_extraction</vt:lpstr>
      <vt:lpstr>World!Laherrère2018_total_gas_remaining</vt:lpstr>
      <vt:lpstr>World!Laherrère2018_total_gas_share_of_unconv_vs_Total_extraction_in_2050_Dmnl</vt:lpstr>
      <vt:lpstr>World!Laherrère2018_total_oil</vt:lpstr>
      <vt:lpstr>World!Laherrère2018_total_oil_extraction</vt:lpstr>
      <vt:lpstr>World!Laherrère2018_total_oil_remaining</vt:lpstr>
      <vt:lpstr>World!Laherrère2018_total_oil_share_of_unconv_vs_Total_extraction_in_2050</vt:lpstr>
      <vt:lpstr>World!Laherrère2018_total_oil_share_of_unconv_vs_Total_extraction_in_2050_Dmnl</vt:lpstr>
      <vt:lpstr>World!Laherrère2018_unconv_oil</vt:lpstr>
      <vt:lpstr>World!Laherrère2018_unconv_oil_extraction</vt:lpstr>
      <vt:lpstr>World!Laherrère2018_unconv_oil_remaining</vt:lpstr>
      <vt:lpstr>World!Land_occupation_ratio_biofuels_marg_land</vt:lpstr>
      <vt:lpstr>World!Land_occupation_ratio_f3</vt:lpstr>
      <vt:lpstr>World!Land_productivity_biofuels_2nd_gen_EJ_MHa</vt:lpstr>
      <vt:lpstr>World!Land_productivity_biofuels_marg_EJ_MHa</vt:lpstr>
      <vt:lpstr>World!life_time_nuclear</vt:lpstr>
      <vt:lpstr>World!life_time_RES_for_heat</vt:lpstr>
      <vt:lpstr>World!LIQUIDS</vt:lpstr>
      <vt:lpstr>LOGIT_MODEL_COEFFICIENT_OR_EXPONENT</vt:lpstr>
      <vt:lpstr>World!Losses_in_Charcoal_plants_EJ</vt:lpstr>
      <vt:lpstr>World!Losses_solar_for_heat</vt:lpstr>
      <vt:lpstr>World!Low</vt:lpstr>
      <vt:lpstr>World!Low_Mohr15_unconv_gas</vt:lpstr>
      <vt:lpstr>World!Low_Mohr15_unconv_gas_extraction</vt:lpstr>
      <vt:lpstr>World!Low_Mohr15_unconv_gas_remaining</vt:lpstr>
      <vt:lpstr>World!Low_mohr15_unconv_oil</vt:lpstr>
      <vt:lpstr>World!Low_mohr15_unconv_oil_URR_extraction</vt:lpstr>
      <vt:lpstr>World!Low_mohr15_unconv_oil_URR_remaining</vt:lpstr>
      <vt:lpstr>World!Low_Mohr2015_coal</vt:lpstr>
      <vt:lpstr>World!Low_Mohr2015_coal_extraction</vt:lpstr>
      <vt:lpstr>World!Low_Mohr2015_coal_remaining</vt:lpstr>
      <vt:lpstr>World!Low_Mohr2015_conv_gas</vt:lpstr>
      <vt:lpstr>World!Low_Mohr2015_conv_gas_extraction</vt:lpstr>
      <vt:lpstr>World!Low_Mohr2015_conv_gas_remaining</vt:lpstr>
      <vt:lpstr>World!LV_elec</vt:lpstr>
      <vt:lpstr>World!LV_gas</vt:lpstr>
      <vt:lpstr>World!LV_hyb</vt:lpstr>
      <vt:lpstr>World!LV_liq</vt:lpstr>
      <vt:lpstr>MACHINING_RATE_PV</vt:lpstr>
      <vt:lpstr>World!Maggio12_high_conv_oil</vt:lpstr>
      <vt:lpstr>World!Maggio12_high_conv_oil_URR_extraction</vt:lpstr>
      <vt:lpstr>World!Maggio12_high_conv_oil_URR_remaining</vt:lpstr>
      <vt:lpstr>World!Maggio12_low_conv_oil</vt:lpstr>
      <vt:lpstr>World!Maggio12_low_conv_oil_URR_extraction</vt:lpstr>
      <vt:lpstr>World!Maggio12_low_conv_oil_URR_remaining</vt:lpstr>
      <vt:lpstr>World!Maggio12_middle_conv_oil</vt:lpstr>
      <vt:lpstr>World!Maggio12_middle_conv_oil_URR_extraction</vt:lpstr>
      <vt:lpstr>World!Maggio12_middle_conv_oil_URR_remaining</vt:lpstr>
      <vt:lpstr>MANUFACTURING_ENERGY_OF_PV_PANELS</vt:lpstr>
      <vt:lpstr>World!Max_efficiency_gas_power_plant</vt:lpstr>
      <vt:lpstr>World!max_lifetime_EV_batteries</vt:lpstr>
      <vt:lpstr>World!Max_yearly_change_between_sources</vt:lpstr>
      <vt:lpstr>World!Max_yearly_change_H</vt:lpstr>
      <vt:lpstr>World!Maximum_auxiliar_interexchange_elec</vt:lpstr>
      <vt:lpstr>World!Maximum_auxiliar_interexchange_heat</vt:lpstr>
      <vt:lpstr>MAXIMUM_EXTRACTION_URANIUM_EWG06</vt:lpstr>
      <vt:lpstr>World!Maximum_yearly_aceleration_of_intensity_improvement_pct_H</vt:lpstr>
      <vt:lpstr>World!Maximun_yearly_aceleration_of_energy_intensity_improvement</vt:lpstr>
      <vt:lpstr>World!Medium</vt:lpstr>
      <vt:lpstr>World!Memo_Coal_peat_and_oil_shale_Elec</vt:lpstr>
      <vt:lpstr>World!Memo_Coal_peat_and_oil_shale_Heat</vt:lpstr>
      <vt:lpstr>World!Memo_Primary_and_secondary_oil_Elec</vt:lpstr>
      <vt:lpstr>World!Memo_Primary_and_secondary_oil_Heat</vt:lpstr>
      <vt:lpstr>World!Memo_Renewables_Elec</vt:lpstr>
      <vt:lpstr>World!min_CF_nuclear</vt:lpstr>
      <vt:lpstr>World!min_lifetime_EV_batteries</vt:lpstr>
      <vt:lpstr>World!Minimum_fraction_of_this_source</vt:lpstr>
      <vt:lpstr>World!Minimum_fraction_of_this_source_H</vt:lpstr>
      <vt:lpstr>World!Mohr12_BG_total_gas</vt:lpstr>
      <vt:lpstr>World!Mohr12_BG_total_gas_extraction</vt:lpstr>
      <vt:lpstr>World!Mohr12_BG_total_gas_remaining</vt:lpstr>
      <vt:lpstr>World!Mohr12_BG_total_gas_share_of_unconv_vs_Total_extraction_in_2050</vt:lpstr>
      <vt:lpstr>World!Mohr12_BG_total_gas_share_of_unconv_vs_Total_extraction_in_2050_Dmnl</vt:lpstr>
      <vt:lpstr>World!mohr12_coal</vt:lpstr>
      <vt:lpstr>World!mohr12_coal_extraction</vt:lpstr>
      <vt:lpstr>World!mohr12_coal_remaining</vt:lpstr>
      <vt:lpstr>World!NAT_GAS_pct_losses</vt:lpstr>
      <vt:lpstr>World!Natural_gas_Elec</vt:lpstr>
      <vt:lpstr>World!Natural_gas_Heat</vt:lpstr>
      <vt:lpstr>World!Net_stored_energy_EV_battery_over_lifetime</vt:lpstr>
      <vt:lpstr>World!Nuclear_Elec</vt:lpstr>
      <vt:lpstr>World!Nuclear_Heat</vt:lpstr>
      <vt:lpstr>World!number_bus_elec</vt:lpstr>
      <vt:lpstr>World!number_bus_gas</vt:lpstr>
      <vt:lpstr>World!number_bus_hyb</vt:lpstr>
      <vt:lpstr>World!number_bus_liq</vt:lpstr>
      <vt:lpstr>World!number_H_elec</vt:lpstr>
      <vt:lpstr>World!number_H_gas</vt:lpstr>
      <vt:lpstr>World!number_H_hib</vt:lpstr>
      <vt:lpstr>World!number_H_liq</vt:lpstr>
      <vt:lpstr>World!number_H2w_E</vt:lpstr>
      <vt:lpstr>World!number_H2w_liq</vt:lpstr>
      <vt:lpstr>World!number_HV_gas</vt:lpstr>
      <vt:lpstr>World!number_HV_hyb</vt:lpstr>
      <vt:lpstr>World!number_HV_liq</vt:lpstr>
      <vt:lpstr>World!number_LV_elec</vt:lpstr>
      <vt:lpstr>World!number_LV_gas</vt:lpstr>
      <vt:lpstr>World!number_LV_hyb</vt:lpstr>
      <vt:lpstr>World!number_LV_liq</vt:lpstr>
      <vt:lpstr>World!number_total_households</vt:lpstr>
      <vt:lpstr>World!number_total_vehicles_T_sector</vt:lpstr>
      <vt:lpstr>World!number_train_E_and__train_liq</vt:lpstr>
      <vt:lpstr>World!occupancy_rate_2w_vehicle</vt:lpstr>
      <vt:lpstr>World!occupancy_rate_4w_vehicle</vt:lpstr>
      <vt:lpstr>World!occupancy_rate_ebike</vt:lpstr>
      <vt:lpstr>World!Oceanic</vt:lpstr>
      <vt:lpstr>World!oceanic_initial_power_density</vt:lpstr>
      <vt:lpstr>World!Oceanic_past_capacity_growth</vt:lpstr>
      <vt:lpstr>World!Offshore_wind</vt:lpstr>
      <vt:lpstr>World!OIL_pct_losses</vt:lpstr>
      <vt:lpstr>World!Oil_refinery_gains_share</vt:lpstr>
      <vt:lpstr>OL_PV</vt:lpstr>
      <vt:lpstr>OPERATION_AND_MAINTAINANCE_COST</vt:lpstr>
      <vt:lpstr>OPERATION_AND_MAINTAINANCE_TIME</vt:lpstr>
      <vt:lpstr>Common!OVERCAPACITY_FACTOR_ELEC</vt:lpstr>
      <vt:lpstr>Common!OVERCAPACITY_FACTOR_HEAT</vt:lpstr>
      <vt:lpstr>World!Past_biogas_growth</vt:lpstr>
      <vt:lpstr>World!past_geothermal_growth_for_heat_com</vt:lpstr>
      <vt:lpstr>World!past_geothermal_growth_for_heat_nc</vt:lpstr>
      <vt:lpstr>World!past_solar_growth_for_heat_com</vt:lpstr>
      <vt:lpstr>World!past_solar_growth_for_heat_nc</vt:lpstr>
      <vt:lpstr>World!past_solid_bioE_heat_com</vt:lpstr>
      <vt:lpstr>World!past_solid_bioE_heat_nc</vt:lpstr>
      <vt:lpstr>World!Past_waste_growth</vt:lpstr>
      <vt:lpstr>World!pc_losses_transformation_vs_extraction_coal</vt:lpstr>
      <vt:lpstr>World!pc_losses_transformation_vs_extraction_oil</vt:lpstr>
      <vt:lpstr>World!pct_CHP_plants_vs_total_heat_output</vt:lpstr>
      <vt:lpstr>World!Pct_gas_in_fossil_CHP_plants</vt:lpstr>
      <vt:lpstr>World!Pct_liquids_in_fossil_CHP_plants</vt:lpstr>
      <vt:lpstr>World!Pct_solids_in_fossil_CHP_plants</vt:lpstr>
      <vt:lpstr>World!Peat_EJ</vt:lpstr>
      <vt:lpstr>World!People_relying_trad_biomass_ref</vt:lpstr>
      <vt:lpstr>World!PEpc_consumption_trad_biomass_ref</vt:lpstr>
      <vt:lpstr>World!percent_2_wheelers</vt:lpstr>
      <vt:lpstr>World!percent_4_wheelers</vt:lpstr>
      <vt:lpstr>World!percent_bus_elec</vt:lpstr>
      <vt:lpstr>World!percent_bus_gas</vt:lpstr>
      <vt:lpstr>World!percent_bus_hyb</vt:lpstr>
      <vt:lpstr>World!percent_bus_liq</vt:lpstr>
      <vt:lpstr>World!percent_H_4w_elec</vt:lpstr>
      <vt:lpstr>World!percent_H_4w_gas</vt:lpstr>
      <vt:lpstr>World!percent_H_4w_liq</vt:lpstr>
      <vt:lpstr>World!percent_H2w_E</vt:lpstr>
      <vt:lpstr>World!percent_H2w_liq</vt:lpstr>
      <vt:lpstr>World!percent_H4w_hyb</vt:lpstr>
      <vt:lpstr>World!percent_HV_gas</vt:lpstr>
      <vt:lpstr>World!percent_HV_hyb</vt:lpstr>
      <vt:lpstr>World!percent_HV_liq</vt:lpstr>
      <vt:lpstr>World!percent_inland_vehicles_initial</vt:lpstr>
      <vt:lpstr>World!percent_LV_elec</vt:lpstr>
      <vt:lpstr>World!percent_LV_gas</vt:lpstr>
      <vt:lpstr>World!percent_LV_hyb</vt:lpstr>
      <vt:lpstr>World!percent_LV_liq</vt:lpstr>
      <vt:lpstr>World!percent_train_E</vt:lpstr>
      <vt:lpstr>World!percent_train_liq</vt:lpstr>
      <vt:lpstr>World!Performance_ratio_over_park_s_lifetime_f2</vt:lpstr>
      <vt:lpstr>World!PHS</vt:lpstr>
      <vt:lpstr>World!PHS_past_capacity_growth</vt:lpstr>
      <vt:lpstr>World!Pipeline_transport</vt:lpstr>
      <vt:lpstr>World!Power_density_Hydro_Twe_Mha</vt:lpstr>
      <vt:lpstr>POWER_PV_PANEL_BASELINE</vt:lpstr>
      <vt:lpstr>World!Primary_energy_coal_for_CHP_plants_IOT_EJ</vt:lpstr>
      <vt:lpstr>World!Primary_energy_coal_for_Elec_plants_IOT_EJ</vt:lpstr>
      <vt:lpstr>World!Primary_energy_coal_for_Heat_plants_IOT_EJ</vt:lpstr>
      <vt:lpstr>World!Primary_energy_gas_for_CHP_plants_IOT_EJ</vt:lpstr>
      <vt:lpstr>World!Primary_energy_gas_for_Elec_plants_IOT_EJ</vt:lpstr>
      <vt:lpstr>World!Primary_energy_gas_for_Heat_plants_IOT_EJ</vt:lpstr>
      <vt:lpstr>World!Primary_energy_liquids_for_CHP_plants_IOT_EJ</vt:lpstr>
      <vt:lpstr>World!Primary_energy_liquids_for_Elec_plants_IOT_EJ</vt:lpstr>
      <vt:lpstr>World!Primary_energy_liquids_for_Heat_plants_IOT_EJ</vt:lpstr>
      <vt:lpstr>Common!primary_energy_shares_of_process_and_commodity</vt:lpstr>
      <vt:lpstr>CHINA!process_refinery_required_shares_of_process_and_commodity_max</vt:lpstr>
      <vt:lpstr>EASOC!process_refinery_required_shares_of_process_and_commodity_max</vt:lpstr>
      <vt:lpstr>'EU27'!process_refinery_required_shares_of_process_and_commodity_max</vt:lpstr>
      <vt:lpstr>INDIA!process_refinery_required_shares_of_process_and_commodity_max</vt:lpstr>
      <vt:lpstr>LATAM!process_refinery_required_shares_of_process_and_commodity_max</vt:lpstr>
      <vt:lpstr>LROW!process_refinery_required_shares_of_process_and_commodity_max</vt:lpstr>
      <vt:lpstr>RUSSIA!process_refinery_required_shares_of_process_and_commodity_max</vt:lpstr>
      <vt:lpstr>Template!process_refinery_required_shares_of_process_and_commodity_max</vt:lpstr>
      <vt:lpstr>UK!process_refinery_required_shares_of_process_and_commodity_max</vt:lpstr>
      <vt:lpstr>USMCA!process_refinery_required_shares_of_process_and_commodity_max</vt:lpstr>
      <vt:lpstr>World!Prop_electrical_distribution_losses</vt:lpstr>
      <vt:lpstr>World!Prop_heat_distribution_losses</vt:lpstr>
      <vt:lpstr>World!propor_gas_transp_losses</vt:lpstr>
      <vt:lpstr>CHINA!PROTRA_LIFETIME</vt:lpstr>
      <vt:lpstr>EASOC!PROTRA_LIFETIME</vt:lpstr>
      <vt:lpstr>'EU27'!PROTRA_LIFETIME</vt:lpstr>
      <vt:lpstr>INDIA!PROTRA_LIFETIME</vt:lpstr>
      <vt:lpstr>LATAM!PROTRA_LIFETIME</vt:lpstr>
      <vt:lpstr>LROW!PROTRA_LIFETIME</vt:lpstr>
      <vt:lpstr>RUSSIA!PROTRA_LIFETIME</vt:lpstr>
      <vt:lpstr>Template!PROTRA_LIFETIME</vt:lpstr>
      <vt:lpstr>UK!PROTRA_LIFETIME</vt:lpstr>
      <vt:lpstr>USMCA!PROTRA_LIFETIME</vt:lpstr>
      <vt:lpstr>PROTRA_lifetime</vt:lpstr>
      <vt:lpstr>PROTRA_technology_utilization_priorities</vt:lpstr>
      <vt:lpstr>World!Pumped_hydro_storage__PHS</vt:lpstr>
      <vt:lpstr>RATIO_CAPACITY_STORAGE_P2H</vt:lpstr>
      <vt:lpstr>World!Ratio_gain_gas_vs_lose_solids_in_tranf_processes</vt:lpstr>
      <vt:lpstr>World!Renewables</vt:lpstr>
      <vt:lpstr>World!Renewables_CHP_Elec</vt:lpstr>
      <vt:lpstr>World!Renewables_CHP_Heat</vt:lpstr>
      <vt:lpstr>World!Renewables_Heat</vt:lpstr>
      <vt:lpstr>World!RES_to_fossil_accounting</vt:lpstr>
      <vt:lpstr>World!Round_trip_storage_efficiency_EV_batteries</vt:lpstr>
      <vt:lpstr>World!Round_trip_storage_efficiency_PHS</vt:lpstr>
      <vt:lpstr>RURR_uranium_EWG06</vt:lpstr>
      <vt:lpstr>World!saving_bus_elec</vt:lpstr>
      <vt:lpstr>World!saving_bus_gas</vt:lpstr>
      <vt:lpstr>World!saving_bus_hyb</vt:lpstr>
      <vt:lpstr>World!saving_bus_liq</vt:lpstr>
      <vt:lpstr>World!saving_H_elec</vt:lpstr>
      <vt:lpstr>World!saving_H_gas</vt:lpstr>
      <vt:lpstr>World!saving_H_hyb</vt:lpstr>
      <vt:lpstr>World!saving_H_liq</vt:lpstr>
      <vt:lpstr>World!saving_H2w_elec</vt:lpstr>
      <vt:lpstr>World!saving_H2w_liq</vt:lpstr>
      <vt:lpstr>World!saving_HV_gas</vt:lpstr>
      <vt:lpstr>World!saving_HV_hyb</vt:lpstr>
      <vt:lpstr>World!saving_HV_liq</vt:lpstr>
      <vt:lpstr>World!saving_LV_elec</vt:lpstr>
      <vt:lpstr>World!saving_LV_gas</vt:lpstr>
      <vt:lpstr>World!saving_LV_hyb</vt:lpstr>
      <vt:lpstr>World!saving_LV_liq</vt:lpstr>
      <vt:lpstr>World!saving_ratios_V</vt:lpstr>
      <vt:lpstr>World!saving_train_elec</vt:lpstr>
      <vt:lpstr>World!saving_train_liq</vt:lpstr>
      <vt:lpstr>Template!scenario_switch_for_utilization_allocation_priorities_0</vt:lpstr>
      <vt:lpstr>CHINA!sector_own_consumption_required_per_process</vt:lpstr>
      <vt:lpstr>EASOC!sector_own_consumption_required_per_process</vt:lpstr>
      <vt:lpstr>'EU27'!sector_own_consumption_required_per_process</vt:lpstr>
      <vt:lpstr>INDIA!sector_own_consumption_required_per_process</vt:lpstr>
      <vt:lpstr>LATAM!sector_own_consumption_required_per_process</vt:lpstr>
      <vt:lpstr>LROW!sector_own_consumption_required_per_process</vt:lpstr>
      <vt:lpstr>RUSSIA!sector_own_consumption_required_per_process</vt:lpstr>
      <vt:lpstr>Template!sector_own_consumption_required_per_process</vt:lpstr>
      <vt:lpstr>UK!sector_own_consumption_required_per_process</vt:lpstr>
      <vt:lpstr>USMCA!sector_own_consumption_required_per_process</vt:lpstr>
      <vt:lpstr>SELECT_EROI_BOUNDARY</vt:lpstr>
      <vt:lpstr>SELECT_LOGIT_MODEL_EV_BATTERIES_SUBTECH_ALLOCATION</vt:lpstr>
      <vt:lpstr>SELECT_LOGIT_MODEL_PV_SUBTECH_ALLOCATION</vt:lpstr>
      <vt:lpstr>World!share_FEH_over_FED_coal</vt:lpstr>
      <vt:lpstr>World!share_FEH_over_FED_nat_gas</vt:lpstr>
      <vt:lpstr>World!share_FEH_over_FED_oil</vt:lpstr>
      <vt:lpstr>World!share_FEH_over_FED_solid_bioE</vt:lpstr>
      <vt:lpstr>World!share_gas_coal_gas_for_Elec_in_2014</vt:lpstr>
      <vt:lpstr>World!share_gas_coal_gas_for_Heat_in_2014</vt:lpstr>
      <vt:lpstr>World!Share_of_Heat_output_vs_electricity_in_nuclear</vt:lpstr>
      <vt:lpstr>World!share_oil_FF_for_Elec_in_2015</vt:lpstr>
      <vt:lpstr>World!share_oil_FF_for_Heat_in_2014</vt:lpstr>
      <vt:lpstr>World!share_PES_biogas_for_CHP_plants</vt:lpstr>
      <vt:lpstr>World!share_PES_biogas_for_elec_plants</vt:lpstr>
      <vt:lpstr>World!share_PES_biogas_for_heat_plants</vt:lpstr>
      <vt:lpstr>World!share_PES_biogas_TFC</vt:lpstr>
      <vt:lpstr>World!share_PES_waste_for_CHP_plants</vt:lpstr>
      <vt:lpstr>World!share_PES_waste_for_elec_plants</vt:lpstr>
      <vt:lpstr>World!share_PES_waste_for_heat_plants</vt:lpstr>
      <vt:lpstr>World!share_PES_waste_TFC</vt:lpstr>
      <vt:lpstr>SHARE_PV_BEFORE_2020</vt:lpstr>
      <vt:lpstr>SHARE_PV_BEFORE_2020_TIME</vt:lpstr>
      <vt:lpstr>World!share_trad_biomass_vs_solids_in_households</vt:lpstr>
      <vt:lpstr>World!Solar_CSP</vt:lpstr>
      <vt:lpstr>World!Solar_PV</vt:lpstr>
      <vt:lpstr>World!solar_PV_initial_power_density</vt:lpstr>
      <vt:lpstr>World!Solar_PV_past_capacity_growth</vt:lpstr>
      <vt:lpstr>World!Solid_bioE_elec</vt:lpstr>
      <vt:lpstr>World!solid_bioenergy_for_electricity</vt:lpstr>
      <vt:lpstr>World!SOLIDS</vt:lpstr>
      <vt:lpstr>CHINA!storage_losses_required_per_process</vt:lpstr>
      <vt:lpstr>EASOC!storage_losses_required_per_process</vt:lpstr>
      <vt:lpstr>'EU27'!storage_losses_required_per_process</vt:lpstr>
      <vt:lpstr>INDIA!storage_losses_required_per_process</vt:lpstr>
      <vt:lpstr>LATAM!storage_losses_required_per_process</vt:lpstr>
      <vt:lpstr>LROW!storage_losses_required_per_process</vt:lpstr>
      <vt:lpstr>RUSSIA!storage_losses_required_per_process</vt:lpstr>
      <vt:lpstr>Template!storage_losses_required_per_process</vt:lpstr>
      <vt:lpstr>UK!storage_losses_required_per_process</vt:lpstr>
      <vt:lpstr>USMCA!storage_losses_required_per_process</vt:lpstr>
      <vt:lpstr>SURFACE_PV_PANEL</vt:lpstr>
      <vt:lpstr>World!SWITCH_SCARCITY_PS_ELEC_SUBSTIT</vt:lpstr>
      <vt:lpstr>World!SWITCH_SCARCITY_PS_HEAT_SUBSTIT</vt:lpstr>
      <vt:lpstr>World!T_hist_inland_vehicles</vt:lpstr>
      <vt:lpstr>World!threshold_abund</vt:lpstr>
      <vt:lpstr>World!threshold_remaining_potential_new_capacity</vt:lpstr>
      <vt:lpstr>World!time_construction_nuclear</vt:lpstr>
      <vt:lpstr>World!time_construction_RES_elec</vt:lpstr>
      <vt:lpstr>World!time_index</vt:lpstr>
      <vt:lpstr>TIME_INDEX_HISTORIC_PV_MODULES_EFFICIENCY</vt:lpstr>
      <vt:lpstr>World!time_planning_nuclear</vt:lpstr>
      <vt:lpstr>World!time_planning_RES_elec</vt:lpstr>
      <vt:lpstr>World!time_RES_nuclear_index</vt:lpstr>
      <vt:lpstr>Common!TO_PROSUP_elec_2_heat</vt:lpstr>
      <vt:lpstr>World!Total_CO2_emissions_from_fossil_fuel_consumption_and_cement_production</vt:lpstr>
      <vt:lpstr>World!Total_GHG_Emissions_Excluding_Land_Use_Change_and_Forestry</vt:lpstr>
      <vt:lpstr>World!Total_GHG_Emissions_Including_Land_Use_Change_and_Forestry</vt:lpstr>
      <vt:lpstr>World!train_elec</vt:lpstr>
      <vt:lpstr>World!train_liq</vt:lpstr>
      <vt:lpstr>CHINA!transformation_input_required_shares_of_process_and_commodity</vt:lpstr>
      <vt:lpstr>EASOC!transformation_input_required_shares_of_process_and_commodity</vt:lpstr>
      <vt:lpstr>'EU27'!transformation_input_required_shares_of_process_and_commodity</vt:lpstr>
      <vt:lpstr>INDIA!transformation_input_required_shares_of_process_and_commodity</vt:lpstr>
      <vt:lpstr>LATAM!transformation_input_required_shares_of_process_and_commodity</vt:lpstr>
      <vt:lpstr>LROW!transformation_input_required_shares_of_process_and_commodity</vt:lpstr>
      <vt:lpstr>RUSSIA!transformation_input_required_shares_of_process_and_commodity</vt:lpstr>
      <vt:lpstr>Template!transformation_input_required_shares_of_process_and_commodity</vt:lpstr>
      <vt:lpstr>UK!transformation_input_required_shares_of_process_and_commodity</vt:lpstr>
      <vt:lpstr>USMCA!transformation_input_required_shares_of_process_and_commodity</vt:lpstr>
      <vt:lpstr>CHINA!transmission_losses_required_shares</vt:lpstr>
      <vt:lpstr>EASOC!transmission_losses_required_shares</vt:lpstr>
      <vt:lpstr>'EU27'!transmission_losses_required_shares</vt:lpstr>
      <vt:lpstr>INDIA!transmission_losses_required_shares</vt:lpstr>
      <vt:lpstr>LATAM!transmission_losses_required_shares</vt:lpstr>
      <vt:lpstr>LROW!transmission_losses_required_shares</vt:lpstr>
      <vt:lpstr>RUSSIA!transmission_losses_required_shares</vt:lpstr>
      <vt:lpstr>Template!transmission_losses_required_shares</vt:lpstr>
      <vt:lpstr>UK!transmission_losses_required_shares</vt:lpstr>
      <vt:lpstr>USMCA!transmission_losses_required_shares</vt:lpstr>
      <vt:lpstr>World!unconventional_gas</vt:lpstr>
      <vt:lpstr>World!unconventional_oil</vt:lpstr>
      <vt:lpstr>World!Unlimited_factor_energy_availability</vt:lpstr>
      <vt:lpstr>World!Unlimited_URR_NRE</vt:lpstr>
      <vt:lpstr>World!uranium</vt:lpstr>
      <vt:lpstr>World!urban_surface_2008</vt:lpstr>
      <vt:lpstr>URR_EWG06</vt:lpstr>
      <vt:lpstr>World!Waste</vt:lpstr>
      <vt:lpstr>World!Wattios_per_battery_EV</vt:lpstr>
      <vt:lpstr>World!weitgh_of_4w_in_demand_of_Sale_Maintenan.</vt:lpstr>
      <vt:lpstr>World!weitgh_of_4w_in_demand_of_Transport_Equip.</vt:lpstr>
      <vt:lpstr>World!wind_offshore_initial_power_density</vt:lpstr>
      <vt:lpstr>World!Wind_offshore_past_capacity_growth</vt:lpstr>
      <vt:lpstr>World!Wind_onshore</vt:lpstr>
      <vt:lpstr>World!wind_onshore_initial_power_density</vt:lpstr>
      <vt:lpstr>World!Wind_onshore_past_capacity_growth</vt:lpstr>
      <vt:lpstr>World!Working_hours_per_day</vt:lpstr>
      <vt:lpstr>World!Year_of_calibration_HOUSEHOLDS_vehicles</vt:lpstr>
      <vt:lpstr>World!Zittel12_uranium</vt:lpstr>
      <vt:lpstr>World!Zittel12_uranium_extraction</vt:lpstr>
      <vt:lpstr>World!Zittel12_uranium_remaining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Alvarez Antelo</dc:creator>
  <cp:lastModifiedBy>IÑIGO CAPELLAN PEREZ</cp:lastModifiedBy>
  <dcterms:created xsi:type="dcterms:W3CDTF">2020-06-24T20:48:55Z</dcterms:created>
  <dcterms:modified xsi:type="dcterms:W3CDTF">2023-11-30T19:26:01Z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lectrical_distribution_losses" linkTarget="Prop_electrical_distribution_losses">
    <vt:lpwstr/>
  </property>
  <property fmtid="{D5CDD505-2E9C-101B-9397-08002B2CF9AE}" pid="3" name="heat_distribution_losses" linkTarget="Prop_heat_distribution_losses">
    <vt:r8>0</vt:r8>
  </property>
</Properties>
</file>